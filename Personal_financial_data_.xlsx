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166925"/>
  <mc:AlternateContent xmlns:mc="http://schemas.openxmlformats.org/markup-compatibility/2006">
    <mc:Choice Requires="x15">
      <x15ac:absPath xmlns:x15ac="http://schemas.microsoft.com/office/spreadsheetml/2010/11/ac" url="C:\Users\shahi\Downloads\"/>
    </mc:Choice>
  </mc:AlternateContent>
  <xr:revisionPtr revIDLastSave="0" documentId="8_{B8D27825-5D71-4146-8D05-8E84610DDEA9}" xr6:coauthVersionLast="47" xr6:coauthVersionMax="47" xr10:uidLastSave="{00000000-0000-0000-0000-000000000000}"/>
  <bookViews>
    <workbookView xWindow="-120" yWindow="-120" windowWidth="29040" windowHeight="15720" activeTab="5" xr2:uid="{68A27C9F-CEF9-4565-B008-2589FCFC6D23}"/>
  </bookViews>
  <sheets>
    <sheet name="problrm_statement" sheetId="6" r:id="rId1"/>
    <sheet name="FinanceData" sheetId="1" r:id="rId2"/>
    <sheet name="Analysis" sheetId="2" r:id="rId3"/>
    <sheet name="category_Analysis" sheetId="3" r:id="rId4"/>
    <sheet name="Monthly Analysis" sheetId="4" r:id="rId5"/>
    <sheet name="Dashboard" sheetId="5" r:id="rId6"/>
  </sheets>
  <calcPr calcId="191029"/>
  <pivotCaches>
    <pivotCache cacheId="73" r:id="rId7"/>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8" i="5" l="1"/>
  <c r="D8" i="5"/>
  <c r="B8" i="2"/>
  <c r="B7" i="2"/>
  <c r="B6" i="2"/>
  <c r="B4" i="2"/>
  <c r="F8" i="5" s="1"/>
  <c r="H2" i="1"/>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595" i="1"/>
  <c r="H596" i="1"/>
  <c r="H597" i="1"/>
  <c r="H598" i="1"/>
  <c r="H599" i="1"/>
  <c r="H600" i="1"/>
  <c r="H601" i="1"/>
  <c r="H60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646" i="1"/>
  <c r="H647" i="1"/>
  <c r="H648" i="1"/>
  <c r="H649" i="1"/>
  <c r="H650" i="1"/>
  <c r="H651" i="1"/>
  <c r="H652" i="1"/>
  <c r="H653" i="1"/>
  <c r="H654" i="1"/>
  <c r="H655" i="1"/>
  <c r="H656" i="1"/>
  <c r="H657" i="1"/>
  <c r="H658" i="1"/>
  <c r="H659" i="1"/>
  <c r="H660" i="1"/>
  <c r="H661" i="1"/>
  <c r="H662" i="1"/>
  <c r="H663" i="1"/>
  <c r="H664" i="1"/>
  <c r="H665" i="1"/>
  <c r="H666" i="1"/>
  <c r="H667" i="1"/>
  <c r="H668" i="1"/>
  <c r="H669" i="1"/>
  <c r="H670" i="1"/>
  <c r="H671" i="1"/>
  <c r="H672" i="1"/>
  <c r="H673" i="1"/>
  <c r="H674" i="1"/>
  <c r="H675" i="1"/>
  <c r="H676" i="1"/>
  <c r="H677" i="1"/>
  <c r="H678" i="1"/>
  <c r="H679" i="1"/>
  <c r="H680" i="1"/>
  <c r="H681" i="1"/>
  <c r="H682" i="1"/>
  <c r="H683" i="1"/>
  <c r="H684" i="1"/>
  <c r="H685" i="1"/>
  <c r="H686" i="1"/>
  <c r="H687" i="1"/>
  <c r="H688" i="1"/>
  <c r="H689" i="1"/>
  <c r="H690" i="1"/>
  <c r="H691" i="1"/>
  <c r="H692" i="1"/>
  <c r="H693" i="1"/>
  <c r="H694" i="1"/>
  <c r="H695" i="1"/>
  <c r="H696" i="1"/>
  <c r="H697" i="1"/>
  <c r="H698" i="1"/>
  <c r="H699" i="1"/>
  <c r="H700" i="1"/>
  <c r="H701" i="1"/>
  <c r="H702" i="1"/>
  <c r="H703" i="1"/>
  <c r="H704" i="1"/>
  <c r="H705" i="1"/>
  <c r="H706" i="1"/>
  <c r="H707" i="1"/>
  <c r="H708" i="1"/>
  <c r="H709" i="1"/>
  <c r="H710" i="1"/>
  <c r="H711" i="1"/>
  <c r="H712" i="1"/>
  <c r="H713" i="1"/>
  <c r="H714" i="1"/>
  <c r="H715" i="1"/>
  <c r="H716" i="1"/>
  <c r="H717" i="1"/>
  <c r="H718" i="1"/>
  <c r="H719" i="1"/>
  <c r="H720" i="1"/>
  <c r="H721" i="1"/>
  <c r="H722" i="1"/>
  <c r="H723" i="1"/>
  <c r="H724" i="1"/>
  <c r="H725" i="1"/>
  <c r="H726" i="1"/>
  <c r="H727" i="1"/>
  <c r="H728" i="1"/>
  <c r="H729" i="1"/>
  <c r="H730" i="1"/>
  <c r="H731" i="1"/>
  <c r="H732" i="1"/>
  <c r="H733" i="1"/>
  <c r="H734" i="1"/>
  <c r="H735" i="1"/>
  <c r="H736" i="1"/>
  <c r="H737" i="1"/>
  <c r="H738" i="1"/>
  <c r="H739" i="1"/>
  <c r="H740" i="1"/>
  <c r="H741" i="1"/>
  <c r="H742" i="1"/>
  <c r="H743" i="1"/>
  <c r="H744" i="1"/>
  <c r="H745" i="1"/>
  <c r="H746" i="1"/>
  <c r="H747" i="1"/>
  <c r="H748" i="1"/>
  <c r="H749" i="1"/>
  <c r="H750" i="1"/>
  <c r="H751" i="1"/>
  <c r="H752" i="1"/>
  <c r="H753" i="1"/>
  <c r="H754" i="1"/>
  <c r="H755" i="1"/>
  <c r="H756" i="1"/>
  <c r="H757" i="1"/>
  <c r="H758" i="1"/>
  <c r="H759" i="1"/>
  <c r="H760" i="1"/>
  <c r="H761" i="1"/>
  <c r="H762" i="1"/>
  <c r="H763" i="1"/>
  <c r="H764" i="1"/>
  <c r="H765" i="1"/>
  <c r="H766" i="1"/>
  <c r="H767" i="1"/>
  <c r="H768" i="1"/>
  <c r="H769" i="1"/>
  <c r="H770" i="1"/>
  <c r="H771" i="1"/>
  <c r="H772" i="1"/>
  <c r="H773" i="1"/>
  <c r="H774" i="1"/>
  <c r="H775" i="1"/>
  <c r="H776" i="1"/>
  <c r="H777" i="1"/>
  <c r="H778" i="1"/>
  <c r="H779" i="1"/>
  <c r="H780" i="1"/>
  <c r="H781" i="1"/>
  <c r="H782" i="1"/>
  <c r="H783" i="1"/>
  <c r="H784" i="1"/>
  <c r="H785" i="1"/>
  <c r="H786" i="1"/>
  <c r="H787" i="1"/>
  <c r="H788" i="1"/>
  <c r="H789" i="1"/>
  <c r="H790" i="1"/>
  <c r="H791" i="1"/>
  <c r="H792" i="1"/>
  <c r="H793" i="1"/>
  <c r="H794" i="1"/>
  <c r="H795" i="1"/>
  <c r="H796" i="1"/>
  <c r="H797" i="1"/>
  <c r="H798" i="1"/>
  <c r="H799" i="1"/>
  <c r="H800" i="1"/>
  <c r="H801" i="1"/>
  <c r="H802" i="1"/>
  <c r="H803" i="1"/>
  <c r="H804" i="1"/>
  <c r="H805" i="1"/>
  <c r="H806" i="1"/>
  <c r="H807" i="1"/>
  <c r="H808" i="1"/>
  <c r="H809" i="1"/>
  <c r="H810" i="1"/>
  <c r="H811" i="1"/>
  <c r="H812" i="1"/>
  <c r="H813" i="1"/>
  <c r="H814" i="1"/>
  <c r="H815" i="1"/>
  <c r="H816" i="1"/>
  <c r="H817" i="1"/>
  <c r="H818" i="1"/>
  <c r="H819" i="1"/>
  <c r="H820" i="1"/>
  <c r="H821" i="1"/>
  <c r="H822" i="1"/>
  <c r="H823" i="1"/>
  <c r="H824" i="1"/>
  <c r="H825" i="1"/>
  <c r="H826" i="1"/>
  <c r="H827" i="1"/>
  <c r="H828" i="1"/>
  <c r="H829" i="1"/>
  <c r="H830" i="1"/>
  <c r="H831" i="1"/>
  <c r="H832" i="1"/>
  <c r="H833" i="1"/>
  <c r="H834" i="1"/>
  <c r="H835" i="1"/>
  <c r="H836" i="1"/>
  <c r="H837" i="1"/>
  <c r="H838" i="1"/>
  <c r="H839" i="1"/>
  <c r="H840" i="1"/>
  <c r="H841" i="1"/>
  <c r="H842" i="1"/>
  <c r="H843" i="1"/>
  <c r="H844" i="1"/>
  <c r="H845" i="1"/>
  <c r="H846" i="1"/>
  <c r="H847" i="1"/>
  <c r="H848" i="1"/>
  <c r="H849" i="1"/>
  <c r="H850" i="1"/>
  <c r="H851" i="1"/>
  <c r="H852" i="1"/>
  <c r="H853" i="1"/>
  <c r="H854" i="1"/>
  <c r="H855" i="1"/>
  <c r="H856" i="1"/>
  <c r="H857" i="1"/>
  <c r="H858" i="1"/>
  <c r="H859" i="1"/>
  <c r="H860" i="1"/>
  <c r="H861" i="1"/>
  <c r="H862" i="1"/>
  <c r="H863" i="1"/>
  <c r="H864" i="1"/>
  <c r="H865" i="1"/>
  <c r="H866" i="1"/>
  <c r="H867" i="1"/>
  <c r="H868" i="1"/>
  <c r="H869" i="1"/>
  <c r="H870" i="1"/>
  <c r="H871" i="1"/>
  <c r="H872" i="1"/>
  <c r="H873" i="1"/>
  <c r="H874" i="1"/>
  <c r="H875" i="1"/>
  <c r="H876" i="1"/>
  <c r="H877" i="1"/>
  <c r="H878" i="1"/>
  <c r="H879" i="1"/>
  <c r="H880" i="1"/>
  <c r="H881" i="1"/>
  <c r="H882" i="1"/>
  <c r="H883" i="1"/>
  <c r="H884" i="1"/>
  <c r="H885" i="1"/>
  <c r="H886" i="1"/>
  <c r="H887" i="1"/>
  <c r="H888" i="1"/>
  <c r="H889" i="1"/>
  <c r="H890" i="1"/>
  <c r="H891" i="1"/>
  <c r="H892" i="1"/>
  <c r="H893" i="1"/>
  <c r="H894" i="1"/>
  <c r="H895" i="1"/>
  <c r="H896" i="1"/>
  <c r="H897" i="1"/>
  <c r="H898" i="1"/>
  <c r="H899" i="1"/>
  <c r="H900" i="1"/>
  <c r="H901" i="1"/>
  <c r="H902" i="1"/>
  <c r="H903" i="1"/>
  <c r="H904" i="1"/>
  <c r="H905" i="1"/>
  <c r="H906" i="1"/>
  <c r="H907" i="1"/>
  <c r="H908" i="1"/>
  <c r="H909" i="1"/>
  <c r="H910" i="1"/>
  <c r="H911" i="1"/>
  <c r="H912" i="1"/>
  <c r="H913" i="1"/>
  <c r="H914" i="1"/>
  <c r="H915" i="1"/>
  <c r="H916" i="1"/>
  <c r="H917" i="1"/>
  <c r="H918" i="1"/>
  <c r="H919" i="1"/>
  <c r="H920" i="1"/>
  <c r="H921" i="1"/>
  <c r="H922" i="1"/>
  <c r="H923" i="1"/>
  <c r="H924" i="1"/>
  <c r="H925" i="1"/>
  <c r="H926" i="1"/>
  <c r="H927" i="1"/>
  <c r="H928" i="1"/>
  <c r="H929" i="1"/>
  <c r="H930" i="1"/>
  <c r="H931" i="1"/>
  <c r="H932" i="1"/>
  <c r="H933" i="1"/>
  <c r="H934" i="1"/>
  <c r="H935" i="1"/>
  <c r="H936" i="1"/>
  <c r="H937" i="1"/>
  <c r="H938" i="1"/>
  <c r="H939" i="1"/>
  <c r="H940" i="1"/>
  <c r="H941" i="1"/>
  <c r="H942" i="1"/>
  <c r="H943" i="1"/>
  <c r="H944" i="1"/>
  <c r="H945" i="1"/>
  <c r="H946" i="1"/>
  <c r="H947" i="1"/>
  <c r="H948" i="1"/>
  <c r="H949" i="1"/>
  <c r="H950" i="1"/>
  <c r="H951" i="1"/>
  <c r="H952" i="1"/>
  <c r="H953" i="1"/>
  <c r="H954" i="1"/>
  <c r="H955" i="1"/>
  <c r="H956" i="1"/>
  <c r="H957" i="1"/>
  <c r="H958" i="1"/>
  <c r="H959" i="1"/>
  <c r="H960" i="1"/>
  <c r="H961" i="1"/>
  <c r="H962" i="1"/>
  <c r="H963" i="1"/>
  <c r="H964" i="1"/>
  <c r="H965" i="1"/>
  <c r="H966" i="1"/>
  <c r="H967" i="1"/>
  <c r="H968" i="1"/>
  <c r="H969" i="1"/>
  <c r="H970" i="1"/>
  <c r="H971" i="1"/>
  <c r="H972" i="1"/>
  <c r="H973" i="1"/>
  <c r="H974" i="1"/>
  <c r="H975" i="1"/>
  <c r="H976" i="1"/>
  <c r="H977" i="1"/>
  <c r="H978" i="1"/>
  <c r="H979" i="1"/>
  <c r="H980" i="1"/>
  <c r="H981" i="1"/>
  <c r="H982" i="1"/>
  <c r="H983" i="1"/>
  <c r="H984" i="1"/>
  <c r="H985" i="1"/>
  <c r="H986" i="1"/>
  <c r="H987" i="1"/>
  <c r="H988" i="1"/>
  <c r="H989" i="1"/>
  <c r="H990" i="1"/>
  <c r="H991" i="1"/>
  <c r="H992" i="1"/>
  <c r="H993" i="1"/>
  <c r="H994" i="1"/>
  <c r="H995" i="1"/>
  <c r="H996" i="1"/>
  <c r="H997" i="1"/>
  <c r="H998" i="1"/>
  <c r="H999" i="1"/>
  <c r="H1000" i="1"/>
  <c r="H1001" i="1"/>
  <c r="H1002" i="1"/>
  <c r="H1003" i="1"/>
  <c r="H1004" i="1"/>
  <c r="H1005" i="1"/>
  <c r="H1006" i="1"/>
  <c r="H1007" i="1"/>
  <c r="H1008" i="1"/>
  <c r="H1009" i="1"/>
  <c r="H1010" i="1"/>
  <c r="H1011" i="1"/>
  <c r="H1012" i="1"/>
  <c r="H1013" i="1"/>
  <c r="H1014" i="1"/>
  <c r="H1015" i="1"/>
  <c r="H1016" i="1"/>
  <c r="H1017" i="1"/>
  <c r="H1018" i="1"/>
  <c r="H1019" i="1"/>
  <c r="H1020" i="1"/>
  <c r="H1021" i="1"/>
  <c r="H1022" i="1"/>
  <c r="H1023" i="1"/>
  <c r="H1024" i="1"/>
  <c r="H1025" i="1"/>
  <c r="H1026" i="1"/>
  <c r="H1027" i="1"/>
  <c r="H1028" i="1"/>
  <c r="H1029" i="1"/>
  <c r="H1030" i="1"/>
  <c r="H1031" i="1"/>
  <c r="H1032" i="1"/>
  <c r="H1033" i="1"/>
  <c r="H1034" i="1"/>
  <c r="H1035" i="1"/>
  <c r="H1036" i="1"/>
  <c r="H1037" i="1"/>
  <c r="H1038" i="1"/>
  <c r="H1039" i="1"/>
  <c r="H1040" i="1"/>
  <c r="H1041" i="1"/>
  <c r="H1042" i="1"/>
  <c r="H1043" i="1"/>
  <c r="H1044" i="1"/>
  <c r="H1045" i="1"/>
  <c r="H1046" i="1"/>
  <c r="H1047" i="1"/>
  <c r="H1048" i="1"/>
  <c r="H1049" i="1"/>
  <c r="H1050" i="1"/>
  <c r="H1051" i="1"/>
  <c r="H1052" i="1"/>
  <c r="H1053" i="1"/>
  <c r="H1054" i="1"/>
  <c r="H1055" i="1"/>
  <c r="H1056" i="1"/>
  <c r="H1057" i="1"/>
  <c r="H1058" i="1"/>
  <c r="H1059" i="1"/>
  <c r="H1060" i="1"/>
  <c r="H1061" i="1"/>
  <c r="H1062" i="1"/>
  <c r="H1063" i="1"/>
  <c r="H1064" i="1"/>
  <c r="H1065" i="1"/>
  <c r="H1066" i="1"/>
  <c r="H1067" i="1"/>
  <c r="H1068" i="1"/>
  <c r="H1069" i="1"/>
  <c r="H1070" i="1"/>
  <c r="H1071" i="1"/>
  <c r="H1072" i="1"/>
  <c r="H1073" i="1"/>
  <c r="H1074" i="1"/>
  <c r="H1075" i="1"/>
  <c r="H1076" i="1"/>
  <c r="H1077" i="1"/>
  <c r="H1078" i="1"/>
  <c r="H1079" i="1"/>
  <c r="H1080" i="1"/>
  <c r="H1081" i="1"/>
  <c r="H1082" i="1"/>
  <c r="H1083" i="1"/>
  <c r="H1084" i="1"/>
  <c r="H1085" i="1"/>
  <c r="H1086" i="1"/>
  <c r="H1087" i="1"/>
  <c r="H1088" i="1"/>
  <c r="H1089" i="1"/>
  <c r="H1090" i="1"/>
  <c r="H1091" i="1"/>
  <c r="H1092" i="1"/>
  <c r="H1093" i="1"/>
  <c r="H1094" i="1"/>
  <c r="H1095" i="1"/>
  <c r="H1096" i="1"/>
  <c r="H1097" i="1"/>
  <c r="H1098" i="1"/>
  <c r="H1099" i="1"/>
  <c r="H1100" i="1"/>
  <c r="H1101" i="1"/>
  <c r="H1102" i="1"/>
  <c r="H1103" i="1"/>
  <c r="H1104" i="1"/>
  <c r="H1105" i="1"/>
  <c r="H1106" i="1"/>
  <c r="H1107" i="1"/>
  <c r="H1108" i="1"/>
  <c r="H1109" i="1"/>
  <c r="H1110" i="1"/>
  <c r="H1111" i="1"/>
  <c r="H1112" i="1"/>
  <c r="H1113" i="1"/>
  <c r="H1114" i="1"/>
  <c r="H1115" i="1"/>
  <c r="H1116" i="1"/>
  <c r="H1117" i="1"/>
  <c r="H1118" i="1"/>
  <c r="H1119" i="1"/>
  <c r="H1120" i="1"/>
  <c r="H1121" i="1"/>
  <c r="H1122" i="1"/>
  <c r="H1123" i="1"/>
  <c r="H1124" i="1"/>
  <c r="H1125" i="1"/>
  <c r="H1126" i="1"/>
  <c r="H1127" i="1"/>
  <c r="H1128" i="1"/>
  <c r="H1129" i="1"/>
  <c r="H1130" i="1"/>
  <c r="H1131" i="1"/>
  <c r="H1132" i="1"/>
  <c r="H1133" i="1"/>
  <c r="H1134" i="1"/>
  <c r="H1135" i="1"/>
  <c r="H1136" i="1"/>
  <c r="H1137" i="1"/>
  <c r="H1138" i="1"/>
  <c r="H1139" i="1"/>
  <c r="H1140" i="1"/>
  <c r="H1141" i="1"/>
  <c r="H1142" i="1"/>
  <c r="H1143" i="1"/>
  <c r="H1144" i="1"/>
  <c r="H1145" i="1"/>
  <c r="H1146" i="1"/>
  <c r="H1147" i="1"/>
  <c r="H1148" i="1"/>
  <c r="H1149" i="1"/>
  <c r="H1150" i="1"/>
  <c r="H1151" i="1"/>
  <c r="H1152" i="1"/>
  <c r="H1153" i="1"/>
  <c r="H1154" i="1"/>
  <c r="H1155" i="1"/>
  <c r="H1156" i="1"/>
  <c r="H1157" i="1"/>
  <c r="H1158" i="1"/>
  <c r="H1159" i="1"/>
  <c r="H1160" i="1"/>
  <c r="H1161" i="1"/>
  <c r="H1162" i="1"/>
  <c r="H1163" i="1"/>
  <c r="H1164" i="1"/>
  <c r="H1165" i="1"/>
  <c r="H1166" i="1"/>
  <c r="H1167" i="1"/>
  <c r="H1168" i="1"/>
  <c r="H1169" i="1"/>
  <c r="H1170" i="1"/>
  <c r="H1171" i="1"/>
  <c r="H1172" i="1"/>
  <c r="H1173" i="1"/>
  <c r="H1174" i="1"/>
  <c r="H1175" i="1"/>
  <c r="H1176" i="1"/>
  <c r="H1177" i="1"/>
  <c r="H1178" i="1"/>
  <c r="H1179" i="1"/>
  <c r="H1180" i="1"/>
  <c r="H1181" i="1"/>
  <c r="H1182" i="1"/>
  <c r="H1183" i="1"/>
  <c r="H1184" i="1"/>
  <c r="H1185" i="1"/>
  <c r="H1186" i="1"/>
  <c r="H1187" i="1"/>
  <c r="H1188" i="1"/>
  <c r="H1189" i="1"/>
  <c r="H1190" i="1"/>
  <c r="H1191" i="1"/>
  <c r="H1192" i="1"/>
  <c r="H1193" i="1"/>
  <c r="H1194" i="1"/>
  <c r="H1195" i="1"/>
  <c r="H1196" i="1"/>
  <c r="H1197" i="1"/>
  <c r="H1198" i="1"/>
  <c r="H1199" i="1"/>
  <c r="H1200" i="1"/>
  <c r="H1201" i="1"/>
  <c r="H1202" i="1"/>
  <c r="H1203" i="1"/>
  <c r="H1204" i="1"/>
  <c r="H1205" i="1"/>
  <c r="H1206" i="1"/>
  <c r="H1207" i="1"/>
  <c r="H1208" i="1"/>
  <c r="H1209" i="1"/>
  <c r="H1210" i="1"/>
  <c r="H1211" i="1"/>
  <c r="H1212" i="1"/>
  <c r="H1213" i="1"/>
  <c r="H1214" i="1"/>
  <c r="H1215" i="1"/>
  <c r="H1216" i="1"/>
  <c r="H1217" i="1"/>
  <c r="H1218" i="1"/>
  <c r="H1219" i="1"/>
  <c r="H1220" i="1"/>
  <c r="H1221" i="1"/>
  <c r="H1222" i="1"/>
  <c r="H1223" i="1"/>
  <c r="H1224" i="1"/>
  <c r="H1225" i="1"/>
  <c r="H1226" i="1"/>
  <c r="H1227" i="1"/>
  <c r="H1228" i="1"/>
  <c r="H1229" i="1"/>
  <c r="H1230" i="1"/>
  <c r="H1231" i="1"/>
  <c r="H1232" i="1"/>
  <c r="H1233" i="1"/>
  <c r="H1234" i="1"/>
  <c r="H1235" i="1"/>
  <c r="H1236" i="1"/>
  <c r="H1237" i="1"/>
  <c r="H1238" i="1"/>
  <c r="H1239" i="1"/>
  <c r="H1240" i="1"/>
  <c r="H1241" i="1"/>
  <c r="H1242" i="1"/>
  <c r="H1243" i="1"/>
  <c r="H1244" i="1"/>
  <c r="H1245" i="1"/>
  <c r="H1246" i="1"/>
  <c r="H1247" i="1"/>
  <c r="H1248" i="1"/>
  <c r="H1249" i="1"/>
  <c r="H1250" i="1"/>
  <c r="H1251" i="1"/>
  <c r="H1252" i="1"/>
  <c r="H1253" i="1"/>
  <c r="H1254" i="1"/>
  <c r="H1255" i="1"/>
  <c r="H1256" i="1"/>
  <c r="H1257" i="1"/>
  <c r="H1258" i="1"/>
  <c r="H1259" i="1"/>
  <c r="H1260" i="1"/>
  <c r="H1261" i="1"/>
  <c r="H1262" i="1"/>
  <c r="H1263" i="1"/>
  <c r="H1264" i="1"/>
  <c r="H1265" i="1"/>
  <c r="H1266" i="1"/>
  <c r="H1267" i="1"/>
  <c r="H1268" i="1"/>
  <c r="H1269" i="1"/>
  <c r="H1270" i="1"/>
  <c r="H1271" i="1"/>
  <c r="H1272" i="1"/>
  <c r="H1273" i="1"/>
  <c r="H1274" i="1"/>
  <c r="H1275" i="1"/>
  <c r="H1276" i="1"/>
  <c r="H1277" i="1"/>
  <c r="H1278" i="1"/>
  <c r="H1279" i="1"/>
  <c r="H1280" i="1"/>
  <c r="H1281" i="1"/>
  <c r="H1282" i="1"/>
  <c r="H1283" i="1"/>
  <c r="H1284" i="1"/>
  <c r="H1285" i="1"/>
  <c r="H1286" i="1"/>
  <c r="H1287" i="1"/>
  <c r="H1288" i="1"/>
  <c r="H1289" i="1"/>
  <c r="H1290" i="1"/>
  <c r="H1291" i="1"/>
  <c r="H1292" i="1"/>
  <c r="H1293" i="1"/>
  <c r="H1294" i="1"/>
  <c r="H1295" i="1"/>
  <c r="H1296" i="1"/>
  <c r="H1297" i="1"/>
  <c r="H1298" i="1"/>
  <c r="H1299" i="1"/>
  <c r="H1300" i="1"/>
  <c r="H1301" i="1"/>
  <c r="H1302" i="1"/>
  <c r="H1303" i="1"/>
  <c r="H1304" i="1"/>
  <c r="H1305" i="1"/>
  <c r="H1306" i="1"/>
  <c r="H1307" i="1"/>
  <c r="H1308" i="1"/>
  <c r="H1309" i="1"/>
  <c r="H1310" i="1"/>
  <c r="H1311" i="1"/>
  <c r="H1312" i="1"/>
  <c r="H1313" i="1"/>
  <c r="H1314" i="1"/>
  <c r="H1315" i="1"/>
  <c r="H1316" i="1"/>
  <c r="H1317" i="1"/>
  <c r="H1318" i="1"/>
  <c r="H1319" i="1"/>
  <c r="H1320" i="1"/>
  <c r="H1321" i="1"/>
  <c r="H1322" i="1"/>
  <c r="H1323" i="1"/>
  <c r="H1324" i="1"/>
  <c r="H1325" i="1"/>
  <c r="H1326" i="1"/>
  <c r="H1327" i="1"/>
  <c r="H1328" i="1"/>
  <c r="H1329" i="1"/>
  <c r="H1330" i="1"/>
  <c r="H1331" i="1"/>
  <c r="H1332" i="1"/>
  <c r="H1333" i="1"/>
  <c r="H1334" i="1"/>
  <c r="H1335" i="1"/>
  <c r="H1336" i="1"/>
  <c r="H1337" i="1"/>
  <c r="H1338" i="1"/>
  <c r="H1339" i="1"/>
  <c r="H1340" i="1"/>
  <c r="H1341" i="1"/>
  <c r="H1342" i="1"/>
  <c r="H1343" i="1"/>
  <c r="H1344" i="1"/>
  <c r="H1345" i="1"/>
  <c r="H1346" i="1"/>
  <c r="H1347" i="1"/>
  <c r="H1348" i="1"/>
  <c r="H1349" i="1"/>
  <c r="H1350" i="1"/>
  <c r="H1351" i="1"/>
  <c r="H1352" i="1"/>
  <c r="H1353" i="1"/>
  <c r="H1354" i="1"/>
  <c r="H1355" i="1"/>
  <c r="H1356" i="1"/>
  <c r="H1357" i="1"/>
  <c r="H1358" i="1"/>
  <c r="H1359" i="1"/>
  <c r="H1360" i="1"/>
  <c r="H1361" i="1"/>
  <c r="H1362" i="1"/>
  <c r="H1363" i="1"/>
  <c r="H1364" i="1"/>
  <c r="H1365" i="1"/>
  <c r="H1366" i="1"/>
  <c r="H1367" i="1"/>
  <c r="H1368" i="1"/>
  <c r="H1369" i="1"/>
  <c r="H1370" i="1"/>
  <c r="H1371" i="1"/>
  <c r="H1372" i="1"/>
  <c r="H1373" i="1"/>
  <c r="H1374" i="1"/>
  <c r="H1375" i="1"/>
  <c r="H1376" i="1"/>
  <c r="H1377" i="1"/>
  <c r="H1378" i="1"/>
  <c r="H1379" i="1"/>
  <c r="H1380" i="1"/>
  <c r="H1381" i="1"/>
  <c r="H1382" i="1"/>
  <c r="H1383" i="1"/>
  <c r="H1384" i="1"/>
  <c r="H1385" i="1"/>
  <c r="H1386" i="1"/>
  <c r="H1387" i="1"/>
  <c r="H1388" i="1"/>
  <c r="H1389" i="1"/>
  <c r="H1390" i="1"/>
  <c r="H1391" i="1"/>
  <c r="H1392" i="1"/>
  <c r="H1393" i="1"/>
  <c r="H1394" i="1"/>
  <c r="H1395" i="1"/>
  <c r="H1396" i="1"/>
  <c r="H1397" i="1"/>
  <c r="H1398" i="1"/>
  <c r="H1399" i="1"/>
  <c r="H1400" i="1"/>
  <c r="H1401" i="1"/>
  <c r="H1402" i="1"/>
  <c r="H1403" i="1"/>
  <c r="H1404" i="1"/>
  <c r="H1405" i="1"/>
  <c r="H1406" i="1"/>
  <c r="H1407" i="1"/>
  <c r="H1408" i="1"/>
  <c r="H1409" i="1"/>
  <c r="H1410" i="1"/>
  <c r="H1411" i="1"/>
  <c r="H1412" i="1"/>
  <c r="H1413" i="1"/>
  <c r="H1414" i="1"/>
  <c r="H1415" i="1"/>
  <c r="H1416" i="1"/>
  <c r="H1417" i="1"/>
  <c r="H1418" i="1"/>
  <c r="H1419" i="1"/>
  <c r="H1420" i="1"/>
  <c r="H1421" i="1"/>
  <c r="H1422" i="1"/>
  <c r="H1423" i="1"/>
  <c r="H1424" i="1"/>
  <c r="H1425" i="1"/>
  <c r="H1426" i="1"/>
  <c r="H1427" i="1"/>
  <c r="H1428" i="1"/>
  <c r="H1429" i="1"/>
  <c r="H1430" i="1"/>
  <c r="H1431" i="1"/>
  <c r="H1432" i="1"/>
  <c r="H1433" i="1"/>
  <c r="H1434" i="1"/>
  <c r="H1435" i="1"/>
  <c r="H1436" i="1"/>
  <c r="H1437" i="1"/>
  <c r="H1438" i="1"/>
  <c r="H1439" i="1"/>
  <c r="H1440" i="1"/>
  <c r="H1441" i="1"/>
  <c r="H1442" i="1"/>
  <c r="H1443" i="1"/>
  <c r="H1444" i="1"/>
  <c r="H1445" i="1"/>
  <c r="H1446" i="1"/>
  <c r="H1447" i="1"/>
  <c r="H1448" i="1"/>
  <c r="H1449" i="1"/>
  <c r="H1450" i="1"/>
  <c r="H1451" i="1"/>
  <c r="H1452" i="1"/>
  <c r="H1453" i="1"/>
  <c r="H1454" i="1"/>
  <c r="H1455" i="1"/>
  <c r="H1456" i="1"/>
  <c r="H1457" i="1"/>
  <c r="H1458" i="1"/>
  <c r="H1459" i="1"/>
  <c r="H1460" i="1"/>
  <c r="H1461" i="1"/>
  <c r="H1462" i="1"/>
  <c r="H1463" i="1"/>
  <c r="H1464" i="1"/>
  <c r="H1465" i="1"/>
  <c r="H1466" i="1"/>
  <c r="H1467" i="1"/>
  <c r="H1468" i="1"/>
  <c r="H1469" i="1"/>
  <c r="H1470" i="1"/>
  <c r="H1471" i="1"/>
  <c r="H1472" i="1"/>
  <c r="H1473" i="1"/>
  <c r="H1474" i="1"/>
  <c r="H1475" i="1"/>
  <c r="H1476" i="1"/>
  <c r="H1477" i="1"/>
  <c r="H1478" i="1"/>
  <c r="H1479" i="1"/>
  <c r="H1480" i="1"/>
  <c r="H1481" i="1"/>
  <c r="H1482" i="1"/>
  <c r="H1483" i="1"/>
  <c r="H1484" i="1"/>
  <c r="H1485" i="1"/>
  <c r="H1486" i="1"/>
  <c r="H1487" i="1"/>
  <c r="H1488" i="1"/>
  <c r="H1489" i="1"/>
  <c r="H1490" i="1"/>
  <c r="H1491" i="1"/>
  <c r="H1492" i="1"/>
  <c r="H1493" i="1"/>
  <c r="H1494" i="1"/>
  <c r="H1495" i="1"/>
  <c r="H1496" i="1"/>
  <c r="H1497" i="1"/>
  <c r="H1498" i="1"/>
  <c r="H1499" i="1"/>
  <c r="H1500" i="1"/>
  <c r="H1501" i="1"/>
  <c r="G2" i="1"/>
  <c r="G3" i="1"/>
  <c r="G4" i="1"/>
  <c r="G5" i="1"/>
  <c r="G6" i="1"/>
  <c r="G7"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112" i="1"/>
  <c r="G113" i="1"/>
  <c r="G114" i="1"/>
  <c r="G115" i="1"/>
  <c r="G116" i="1"/>
  <c r="G117" i="1"/>
  <c r="G118" i="1"/>
  <c r="G119" i="1"/>
  <c r="G120" i="1"/>
  <c r="G121" i="1"/>
  <c r="G122" i="1"/>
  <c r="G123" i="1"/>
  <c r="G124" i="1"/>
  <c r="G125" i="1"/>
  <c r="G126" i="1"/>
  <c r="G127" i="1"/>
  <c r="G128" i="1"/>
  <c r="G129" i="1"/>
  <c r="G130" i="1"/>
  <c r="G131" i="1"/>
  <c r="G132" i="1"/>
  <c r="G133" i="1"/>
  <c r="G134" i="1"/>
  <c r="G135" i="1"/>
  <c r="G136" i="1"/>
  <c r="G137" i="1"/>
  <c r="G138" i="1"/>
  <c r="G139" i="1"/>
  <c r="G140" i="1"/>
  <c r="G141" i="1"/>
  <c r="G142" i="1"/>
  <c r="G143" i="1"/>
  <c r="G144" i="1"/>
  <c r="G145" i="1"/>
  <c r="G146" i="1"/>
  <c r="G147" i="1"/>
  <c r="G148" i="1"/>
  <c r="G149" i="1"/>
  <c r="G150" i="1"/>
  <c r="G151" i="1"/>
  <c r="G152" i="1"/>
  <c r="G153" i="1"/>
  <c r="G154" i="1"/>
  <c r="G155" i="1"/>
  <c r="G156" i="1"/>
  <c r="G157" i="1"/>
  <c r="G158" i="1"/>
  <c r="G159" i="1"/>
  <c r="G160" i="1"/>
  <c r="G161" i="1"/>
  <c r="G162" i="1"/>
  <c r="G163" i="1"/>
  <c r="G164" i="1"/>
  <c r="G165" i="1"/>
  <c r="G166" i="1"/>
  <c r="G167" i="1"/>
  <c r="G168" i="1"/>
  <c r="G169" i="1"/>
  <c r="G170" i="1"/>
  <c r="G171" i="1"/>
  <c r="G172" i="1"/>
  <c r="G173" i="1"/>
  <c r="G174" i="1"/>
  <c r="G175" i="1"/>
  <c r="G176" i="1"/>
  <c r="G177" i="1"/>
  <c r="G178" i="1"/>
  <c r="G179" i="1"/>
  <c r="G180" i="1"/>
  <c r="G181" i="1"/>
  <c r="G182" i="1"/>
  <c r="G183" i="1"/>
  <c r="G184" i="1"/>
  <c r="G185" i="1"/>
  <c r="G186" i="1"/>
  <c r="G187" i="1"/>
  <c r="G188" i="1"/>
  <c r="G189" i="1"/>
  <c r="G190" i="1"/>
  <c r="G191" i="1"/>
  <c r="G192" i="1"/>
  <c r="G193" i="1"/>
  <c r="G194" i="1"/>
  <c r="G195" i="1"/>
  <c r="G196" i="1"/>
  <c r="G197" i="1"/>
  <c r="G198" i="1"/>
  <c r="G199" i="1"/>
  <c r="G200" i="1"/>
  <c r="G201" i="1"/>
  <c r="G202" i="1"/>
  <c r="G203" i="1"/>
  <c r="G204" i="1"/>
  <c r="G205" i="1"/>
  <c r="G206" i="1"/>
  <c r="G207" i="1"/>
  <c r="G208" i="1"/>
  <c r="G209" i="1"/>
  <c r="G210" i="1"/>
  <c r="G211" i="1"/>
  <c r="G212" i="1"/>
  <c r="G213" i="1"/>
  <c r="G214" i="1"/>
  <c r="G215" i="1"/>
  <c r="G216" i="1"/>
  <c r="G217" i="1"/>
  <c r="G218" i="1"/>
  <c r="G219" i="1"/>
  <c r="G220" i="1"/>
  <c r="G221" i="1"/>
  <c r="G222" i="1"/>
  <c r="G223" i="1"/>
  <c r="G224" i="1"/>
  <c r="G225" i="1"/>
  <c r="G226" i="1"/>
  <c r="G227" i="1"/>
  <c r="G228" i="1"/>
  <c r="G229" i="1"/>
  <c r="G230" i="1"/>
  <c r="G231" i="1"/>
  <c r="G232" i="1"/>
  <c r="G233" i="1"/>
  <c r="G234" i="1"/>
  <c r="G235" i="1"/>
  <c r="G236" i="1"/>
  <c r="G237" i="1"/>
  <c r="G238" i="1"/>
  <c r="G239" i="1"/>
  <c r="G240" i="1"/>
  <c r="G241" i="1"/>
  <c r="G242" i="1"/>
  <c r="G243" i="1"/>
  <c r="G244" i="1"/>
  <c r="G245" i="1"/>
  <c r="G246" i="1"/>
  <c r="G247" i="1"/>
  <c r="G248" i="1"/>
  <c r="G249" i="1"/>
  <c r="G250" i="1"/>
  <c r="G251" i="1"/>
  <c r="G252" i="1"/>
  <c r="G253" i="1"/>
  <c r="G254" i="1"/>
  <c r="G255" i="1"/>
  <c r="G256" i="1"/>
  <c r="G257" i="1"/>
  <c r="G258" i="1"/>
  <c r="G259" i="1"/>
  <c r="G260" i="1"/>
  <c r="G261" i="1"/>
  <c r="G262" i="1"/>
  <c r="G263" i="1"/>
  <c r="G264" i="1"/>
  <c r="G265" i="1"/>
  <c r="G266" i="1"/>
  <c r="G267" i="1"/>
  <c r="G268" i="1"/>
  <c r="G269" i="1"/>
  <c r="G270" i="1"/>
  <c r="G271" i="1"/>
  <c r="G272" i="1"/>
  <c r="G273" i="1"/>
  <c r="G274" i="1"/>
  <c r="G275" i="1"/>
  <c r="G276" i="1"/>
  <c r="G277" i="1"/>
  <c r="G278" i="1"/>
  <c r="G279" i="1"/>
  <c r="G280" i="1"/>
  <c r="G281" i="1"/>
  <c r="G282" i="1"/>
  <c r="G283" i="1"/>
  <c r="G284" i="1"/>
  <c r="G285" i="1"/>
  <c r="G286" i="1"/>
  <c r="G287" i="1"/>
  <c r="G288" i="1"/>
  <c r="G289" i="1"/>
  <c r="G290" i="1"/>
  <c r="G291" i="1"/>
  <c r="G292" i="1"/>
  <c r="G293" i="1"/>
  <c r="G294" i="1"/>
  <c r="G295" i="1"/>
  <c r="G296" i="1"/>
  <c r="G297" i="1"/>
  <c r="G298" i="1"/>
  <c r="G299" i="1"/>
  <c r="G300" i="1"/>
  <c r="G301" i="1"/>
  <c r="G302" i="1"/>
  <c r="G303" i="1"/>
  <c r="G304" i="1"/>
  <c r="G305" i="1"/>
  <c r="G306" i="1"/>
  <c r="G307" i="1"/>
  <c r="G308" i="1"/>
  <c r="G309" i="1"/>
  <c r="G310" i="1"/>
  <c r="G311" i="1"/>
  <c r="G312" i="1"/>
  <c r="G313" i="1"/>
  <c r="G314" i="1"/>
  <c r="G315" i="1"/>
  <c r="G316" i="1"/>
  <c r="G317" i="1"/>
  <c r="G318" i="1"/>
  <c r="G319" i="1"/>
  <c r="G320" i="1"/>
  <c r="G321" i="1"/>
  <c r="G322" i="1"/>
  <c r="G323" i="1"/>
  <c r="G324" i="1"/>
  <c r="G325" i="1"/>
  <c r="G326" i="1"/>
  <c r="G327" i="1"/>
  <c r="G328" i="1"/>
  <c r="G329" i="1"/>
  <c r="G330" i="1"/>
  <c r="G331" i="1"/>
  <c r="G332" i="1"/>
  <c r="G333" i="1"/>
  <c r="G334" i="1"/>
  <c r="G335" i="1"/>
  <c r="G336" i="1"/>
  <c r="G337" i="1"/>
  <c r="G338" i="1"/>
  <c r="G339" i="1"/>
  <c r="G340" i="1"/>
  <c r="G341" i="1"/>
  <c r="G342" i="1"/>
  <c r="G343" i="1"/>
  <c r="G344" i="1"/>
  <c r="G345" i="1"/>
  <c r="G346" i="1"/>
  <c r="G347" i="1"/>
  <c r="G348" i="1"/>
  <c r="G349" i="1"/>
  <c r="G350" i="1"/>
  <c r="G351" i="1"/>
  <c r="G352" i="1"/>
  <c r="G353" i="1"/>
  <c r="G354" i="1"/>
  <c r="G355" i="1"/>
  <c r="G356" i="1"/>
  <c r="G357" i="1"/>
  <c r="G358" i="1"/>
  <c r="G359" i="1"/>
  <c r="G360" i="1"/>
  <c r="G361" i="1"/>
  <c r="G362" i="1"/>
  <c r="G363" i="1"/>
  <c r="G364" i="1"/>
  <c r="G365" i="1"/>
  <c r="G366" i="1"/>
  <c r="G367" i="1"/>
  <c r="G368" i="1"/>
  <c r="G369" i="1"/>
  <c r="G370" i="1"/>
  <c r="G371" i="1"/>
  <c r="G372" i="1"/>
  <c r="G373" i="1"/>
  <c r="G374" i="1"/>
  <c r="G375" i="1"/>
  <c r="G376" i="1"/>
  <c r="G377" i="1"/>
  <c r="G378" i="1"/>
  <c r="G379" i="1"/>
  <c r="G380" i="1"/>
  <c r="G381" i="1"/>
  <c r="G382" i="1"/>
  <c r="G383" i="1"/>
  <c r="G384" i="1"/>
  <c r="G385" i="1"/>
  <c r="G386" i="1"/>
  <c r="G387" i="1"/>
  <c r="G388" i="1"/>
  <c r="G389" i="1"/>
  <c r="G390" i="1"/>
  <c r="G391" i="1"/>
  <c r="G392" i="1"/>
  <c r="G393" i="1"/>
  <c r="G394" i="1"/>
  <c r="G395" i="1"/>
  <c r="G396" i="1"/>
  <c r="G397" i="1"/>
  <c r="G398" i="1"/>
  <c r="G399" i="1"/>
  <c r="G400" i="1"/>
  <c r="G401" i="1"/>
  <c r="G402" i="1"/>
  <c r="G403" i="1"/>
  <c r="G404" i="1"/>
  <c r="G405" i="1"/>
  <c r="G406" i="1"/>
  <c r="G407" i="1"/>
  <c r="G408" i="1"/>
  <c r="G409" i="1"/>
  <c r="G410" i="1"/>
  <c r="G411" i="1"/>
  <c r="G412" i="1"/>
  <c r="G413" i="1"/>
  <c r="G414" i="1"/>
  <c r="G415" i="1"/>
  <c r="G416" i="1"/>
  <c r="G417" i="1"/>
  <c r="G418" i="1"/>
  <c r="G419" i="1"/>
  <c r="G420" i="1"/>
  <c r="G421" i="1"/>
  <c r="G422" i="1"/>
  <c r="G423" i="1"/>
  <c r="G424" i="1"/>
  <c r="G425" i="1"/>
  <c r="G426" i="1"/>
  <c r="G427" i="1"/>
  <c r="G428" i="1"/>
  <c r="G429" i="1"/>
  <c r="G430" i="1"/>
  <c r="G431" i="1"/>
  <c r="G432" i="1"/>
  <c r="G433" i="1"/>
  <c r="G434" i="1"/>
  <c r="G435" i="1"/>
  <c r="G436" i="1"/>
  <c r="G437" i="1"/>
  <c r="G438" i="1"/>
  <c r="G439" i="1"/>
  <c r="G440" i="1"/>
  <c r="G441" i="1"/>
  <c r="G442" i="1"/>
  <c r="G443" i="1"/>
  <c r="G444" i="1"/>
  <c r="G445" i="1"/>
  <c r="G446" i="1"/>
  <c r="G447" i="1"/>
  <c r="G448" i="1"/>
  <c r="G449" i="1"/>
  <c r="G450" i="1"/>
  <c r="G451" i="1"/>
  <c r="G452" i="1"/>
  <c r="G453" i="1"/>
  <c r="G454" i="1"/>
  <c r="G455" i="1"/>
  <c r="G456" i="1"/>
  <c r="G457" i="1"/>
  <c r="G458" i="1"/>
  <c r="G459" i="1"/>
  <c r="G460" i="1"/>
  <c r="G461" i="1"/>
  <c r="G462" i="1"/>
  <c r="G463" i="1"/>
  <c r="G464" i="1"/>
  <c r="G465" i="1"/>
  <c r="G466" i="1"/>
  <c r="G467" i="1"/>
  <c r="G468" i="1"/>
  <c r="G469" i="1"/>
  <c r="G470" i="1"/>
  <c r="G471" i="1"/>
  <c r="G472" i="1"/>
  <c r="G473" i="1"/>
  <c r="G474" i="1"/>
  <c r="G475" i="1"/>
  <c r="G476" i="1"/>
  <c r="G477" i="1"/>
  <c r="G478" i="1"/>
  <c r="G479" i="1"/>
  <c r="G480" i="1"/>
  <c r="G481" i="1"/>
  <c r="G482" i="1"/>
  <c r="G483" i="1"/>
  <c r="G484" i="1"/>
  <c r="G485" i="1"/>
  <c r="G486" i="1"/>
  <c r="G487" i="1"/>
  <c r="G488" i="1"/>
  <c r="G489" i="1"/>
  <c r="G490" i="1"/>
  <c r="G491" i="1"/>
  <c r="G492" i="1"/>
  <c r="G493" i="1"/>
  <c r="G494" i="1"/>
  <c r="G495" i="1"/>
  <c r="G496" i="1"/>
  <c r="G497" i="1"/>
  <c r="G498" i="1"/>
  <c r="G499" i="1"/>
  <c r="G500" i="1"/>
  <c r="G501" i="1"/>
  <c r="G502" i="1"/>
  <c r="G503" i="1"/>
  <c r="G504" i="1"/>
  <c r="G505" i="1"/>
  <c r="G506" i="1"/>
  <c r="G507" i="1"/>
  <c r="G508" i="1"/>
  <c r="G509" i="1"/>
  <c r="G510" i="1"/>
  <c r="G511" i="1"/>
  <c r="G512" i="1"/>
  <c r="G513" i="1"/>
  <c r="G514" i="1"/>
  <c r="G515" i="1"/>
  <c r="G516" i="1"/>
  <c r="G517" i="1"/>
  <c r="G518" i="1"/>
  <c r="G519" i="1"/>
  <c r="G520" i="1"/>
  <c r="G521" i="1"/>
  <c r="G522" i="1"/>
  <c r="G523" i="1"/>
  <c r="G524" i="1"/>
  <c r="G525" i="1"/>
  <c r="G526" i="1"/>
  <c r="G527" i="1"/>
  <c r="G528" i="1"/>
  <c r="G529" i="1"/>
  <c r="G530" i="1"/>
  <c r="G531" i="1"/>
  <c r="G532" i="1"/>
  <c r="G533" i="1"/>
  <c r="G534" i="1"/>
  <c r="G535" i="1"/>
  <c r="G536" i="1"/>
  <c r="G537" i="1"/>
  <c r="G538" i="1"/>
  <c r="G539" i="1"/>
  <c r="G540" i="1"/>
  <c r="G541" i="1"/>
  <c r="G542" i="1"/>
  <c r="G543" i="1"/>
  <c r="G544" i="1"/>
  <c r="G545" i="1"/>
  <c r="G546" i="1"/>
  <c r="G547" i="1"/>
  <c r="G548" i="1"/>
  <c r="G549" i="1"/>
  <c r="G550" i="1"/>
  <c r="G551" i="1"/>
  <c r="G552" i="1"/>
  <c r="G553" i="1"/>
  <c r="G554" i="1"/>
  <c r="G555" i="1"/>
  <c r="G556" i="1"/>
  <c r="G557" i="1"/>
  <c r="G558" i="1"/>
  <c r="G559" i="1"/>
  <c r="G560" i="1"/>
  <c r="G561" i="1"/>
  <c r="G562" i="1"/>
  <c r="G563" i="1"/>
  <c r="G564" i="1"/>
  <c r="G565" i="1"/>
  <c r="G566" i="1"/>
  <c r="G567" i="1"/>
  <c r="G568" i="1"/>
  <c r="G569" i="1"/>
  <c r="G570" i="1"/>
  <c r="G571" i="1"/>
  <c r="G572" i="1"/>
  <c r="G573" i="1"/>
  <c r="G574" i="1"/>
  <c r="G575" i="1"/>
  <c r="G576" i="1"/>
  <c r="G577" i="1"/>
  <c r="G578" i="1"/>
  <c r="G579" i="1"/>
  <c r="G580" i="1"/>
  <c r="G581" i="1"/>
  <c r="G582" i="1"/>
  <c r="G583" i="1"/>
  <c r="G584" i="1"/>
  <c r="G585" i="1"/>
  <c r="G586" i="1"/>
  <c r="G587" i="1"/>
  <c r="G588" i="1"/>
  <c r="G589" i="1"/>
  <c r="G590" i="1"/>
  <c r="G591" i="1"/>
  <c r="G592" i="1"/>
  <c r="G593" i="1"/>
  <c r="G594" i="1"/>
  <c r="G595" i="1"/>
  <c r="G596" i="1"/>
  <c r="G597" i="1"/>
  <c r="G598" i="1"/>
  <c r="G599" i="1"/>
  <c r="G600" i="1"/>
  <c r="G601" i="1"/>
  <c r="G602" i="1"/>
  <c r="G603" i="1"/>
  <c r="G604" i="1"/>
  <c r="G605" i="1"/>
  <c r="G606" i="1"/>
  <c r="G607" i="1"/>
  <c r="G608" i="1"/>
  <c r="G609" i="1"/>
  <c r="G610" i="1"/>
  <c r="G611" i="1"/>
  <c r="G612" i="1"/>
  <c r="G613" i="1"/>
  <c r="G614" i="1"/>
  <c r="G615" i="1"/>
  <c r="G616" i="1"/>
  <c r="G617" i="1"/>
  <c r="G618" i="1"/>
  <c r="G619" i="1"/>
  <c r="G620" i="1"/>
  <c r="G621" i="1"/>
  <c r="G622" i="1"/>
  <c r="G623" i="1"/>
  <c r="G624" i="1"/>
  <c r="G625" i="1"/>
  <c r="G626" i="1"/>
  <c r="G627" i="1"/>
  <c r="G628" i="1"/>
  <c r="G629" i="1"/>
  <c r="G630" i="1"/>
  <c r="G631" i="1"/>
  <c r="G632" i="1"/>
  <c r="G633" i="1"/>
  <c r="G634" i="1"/>
  <c r="G635" i="1"/>
  <c r="G636" i="1"/>
  <c r="G637" i="1"/>
  <c r="G638" i="1"/>
  <c r="G639" i="1"/>
  <c r="G640" i="1"/>
  <c r="G641" i="1"/>
  <c r="G642" i="1"/>
  <c r="G643" i="1"/>
  <c r="G644" i="1"/>
  <c r="G645" i="1"/>
  <c r="G646" i="1"/>
  <c r="G647" i="1"/>
  <c r="G648" i="1"/>
  <c r="G649" i="1"/>
  <c r="G650" i="1"/>
  <c r="G651" i="1"/>
  <c r="G652" i="1"/>
  <c r="G653" i="1"/>
  <c r="G654" i="1"/>
  <c r="G655" i="1"/>
  <c r="G656" i="1"/>
  <c r="G657" i="1"/>
  <c r="G658" i="1"/>
  <c r="G659" i="1"/>
  <c r="G660" i="1"/>
  <c r="G661" i="1"/>
  <c r="G662" i="1"/>
  <c r="G663" i="1"/>
  <c r="G664" i="1"/>
  <c r="G665" i="1"/>
  <c r="G666" i="1"/>
  <c r="G667" i="1"/>
  <c r="G668" i="1"/>
  <c r="G669" i="1"/>
  <c r="G670" i="1"/>
  <c r="G671" i="1"/>
  <c r="G672" i="1"/>
  <c r="G673" i="1"/>
  <c r="G674" i="1"/>
  <c r="G675" i="1"/>
  <c r="G676" i="1"/>
  <c r="G677" i="1"/>
  <c r="G678" i="1"/>
  <c r="G679" i="1"/>
  <c r="G680" i="1"/>
  <c r="G681" i="1"/>
  <c r="G682" i="1"/>
  <c r="G683" i="1"/>
  <c r="G684" i="1"/>
  <c r="G685" i="1"/>
  <c r="G686" i="1"/>
  <c r="G687" i="1"/>
  <c r="G688" i="1"/>
  <c r="G689" i="1"/>
  <c r="G690" i="1"/>
  <c r="G691" i="1"/>
  <c r="G692" i="1"/>
  <c r="G693" i="1"/>
  <c r="G694" i="1"/>
  <c r="G695" i="1"/>
  <c r="G696" i="1"/>
  <c r="G697" i="1"/>
  <c r="G698" i="1"/>
  <c r="G699" i="1"/>
  <c r="G700" i="1"/>
  <c r="G701" i="1"/>
  <c r="G702" i="1"/>
  <c r="G703" i="1"/>
  <c r="G704" i="1"/>
  <c r="G705" i="1"/>
  <c r="G706" i="1"/>
  <c r="G707" i="1"/>
  <c r="G708" i="1"/>
  <c r="G709" i="1"/>
  <c r="G710" i="1"/>
  <c r="G711" i="1"/>
  <c r="G712" i="1"/>
  <c r="G713" i="1"/>
  <c r="G714" i="1"/>
  <c r="G715" i="1"/>
  <c r="G716" i="1"/>
  <c r="G717" i="1"/>
  <c r="G718" i="1"/>
  <c r="G719" i="1"/>
  <c r="G720" i="1"/>
  <c r="G721" i="1"/>
  <c r="G722" i="1"/>
  <c r="G723" i="1"/>
  <c r="G724" i="1"/>
  <c r="G725" i="1"/>
  <c r="G726" i="1"/>
  <c r="G727" i="1"/>
  <c r="G728" i="1"/>
  <c r="G729" i="1"/>
  <c r="G730" i="1"/>
  <c r="G731" i="1"/>
  <c r="G732" i="1"/>
  <c r="G733" i="1"/>
  <c r="G734" i="1"/>
  <c r="G735" i="1"/>
  <c r="G736" i="1"/>
  <c r="G737" i="1"/>
  <c r="G738" i="1"/>
  <c r="G739" i="1"/>
  <c r="G740" i="1"/>
  <c r="G741" i="1"/>
  <c r="G742" i="1"/>
  <c r="G743" i="1"/>
  <c r="G744" i="1"/>
  <c r="G745" i="1"/>
  <c r="G746" i="1"/>
  <c r="G747" i="1"/>
  <c r="G748" i="1"/>
  <c r="G749" i="1"/>
  <c r="G750" i="1"/>
  <c r="G751" i="1"/>
  <c r="G752" i="1"/>
  <c r="G753" i="1"/>
  <c r="G754" i="1"/>
  <c r="G755" i="1"/>
  <c r="G756" i="1"/>
  <c r="G757" i="1"/>
  <c r="G758" i="1"/>
  <c r="G759" i="1"/>
  <c r="G760" i="1"/>
  <c r="G761" i="1"/>
  <c r="G762" i="1"/>
  <c r="G763" i="1"/>
  <c r="G764" i="1"/>
  <c r="G765" i="1"/>
  <c r="G766" i="1"/>
  <c r="G767" i="1"/>
  <c r="G768" i="1"/>
  <c r="G769" i="1"/>
  <c r="G770" i="1"/>
  <c r="G771" i="1"/>
  <c r="G772" i="1"/>
  <c r="G773" i="1"/>
  <c r="G774" i="1"/>
  <c r="G775" i="1"/>
  <c r="G776" i="1"/>
  <c r="G777" i="1"/>
  <c r="G778" i="1"/>
  <c r="G779" i="1"/>
  <c r="G780" i="1"/>
  <c r="G781" i="1"/>
  <c r="G782" i="1"/>
  <c r="G783" i="1"/>
  <c r="G784" i="1"/>
  <c r="G785" i="1"/>
  <c r="G786" i="1"/>
  <c r="G787" i="1"/>
  <c r="G788" i="1"/>
  <c r="G789" i="1"/>
  <c r="G790" i="1"/>
  <c r="G791" i="1"/>
  <c r="G792" i="1"/>
  <c r="G793" i="1"/>
  <c r="G794" i="1"/>
  <c r="G795" i="1"/>
  <c r="G796" i="1"/>
  <c r="G797" i="1"/>
  <c r="G798" i="1"/>
  <c r="G799" i="1"/>
  <c r="G800" i="1"/>
  <c r="G801" i="1"/>
  <c r="G802" i="1"/>
  <c r="G803" i="1"/>
  <c r="G804" i="1"/>
  <c r="G805" i="1"/>
  <c r="G806" i="1"/>
  <c r="G807" i="1"/>
  <c r="G808" i="1"/>
  <c r="G809" i="1"/>
  <c r="G810" i="1"/>
  <c r="G811" i="1"/>
  <c r="G812" i="1"/>
  <c r="G813" i="1"/>
  <c r="G814" i="1"/>
  <c r="G815" i="1"/>
  <c r="G816" i="1"/>
  <c r="G817" i="1"/>
  <c r="G818" i="1"/>
  <c r="G819" i="1"/>
  <c r="G820" i="1"/>
  <c r="G821" i="1"/>
  <c r="G822" i="1"/>
  <c r="G823" i="1"/>
  <c r="G824" i="1"/>
  <c r="G825" i="1"/>
  <c r="G826" i="1"/>
  <c r="G827" i="1"/>
  <c r="G828" i="1"/>
  <c r="G829" i="1"/>
  <c r="G830" i="1"/>
  <c r="G831" i="1"/>
  <c r="G832" i="1"/>
  <c r="G833" i="1"/>
  <c r="G834" i="1"/>
  <c r="G835" i="1"/>
  <c r="G836" i="1"/>
  <c r="G837" i="1"/>
  <c r="G838" i="1"/>
  <c r="G839" i="1"/>
  <c r="G840" i="1"/>
  <c r="G841" i="1"/>
  <c r="G842" i="1"/>
  <c r="G843" i="1"/>
  <c r="G844" i="1"/>
  <c r="G845" i="1"/>
  <c r="G846" i="1"/>
  <c r="G847" i="1"/>
  <c r="G848" i="1"/>
  <c r="G849" i="1"/>
  <c r="G850" i="1"/>
  <c r="G851" i="1"/>
  <c r="G852" i="1"/>
  <c r="G853" i="1"/>
  <c r="G854" i="1"/>
  <c r="G855" i="1"/>
  <c r="G856" i="1"/>
  <c r="G857" i="1"/>
  <c r="G858" i="1"/>
  <c r="G859" i="1"/>
  <c r="G860" i="1"/>
  <c r="G861" i="1"/>
  <c r="G862" i="1"/>
  <c r="G863" i="1"/>
  <c r="G864" i="1"/>
  <c r="G865" i="1"/>
  <c r="G866" i="1"/>
  <c r="G867" i="1"/>
  <c r="G868" i="1"/>
  <c r="G869" i="1"/>
  <c r="G870" i="1"/>
  <c r="G871" i="1"/>
  <c r="G872" i="1"/>
  <c r="G873" i="1"/>
  <c r="G874" i="1"/>
  <c r="G875" i="1"/>
  <c r="G876" i="1"/>
  <c r="G877" i="1"/>
  <c r="G878" i="1"/>
  <c r="G879" i="1"/>
  <c r="G880" i="1"/>
  <c r="G881" i="1"/>
  <c r="G882" i="1"/>
  <c r="G883" i="1"/>
  <c r="G884" i="1"/>
  <c r="G885" i="1"/>
  <c r="G886" i="1"/>
  <c r="G887" i="1"/>
  <c r="G888" i="1"/>
  <c r="G889" i="1"/>
  <c r="G890" i="1"/>
  <c r="G891" i="1"/>
  <c r="G892" i="1"/>
  <c r="G893" i="1"/>
  <c r="G894" i="1"/>
  <c r="G895" i="1"/>
  <c r="G896" i="1"/>
  <c r="G897" i="1"/>
  <c r="G898" i="1"/>
  <c r="G899" i="1"/>
  <c r="G900" i="1"/>
  <c r="G901" i="1"/>
  <c r="G902" i="1"/>
  <c r="G903" i="1"/>
  <c r="G904" i="1"/>
  <c r="G905" i="1"/>
  <c r="G906" i="1"/>
  <c r="G907" i="1"/>
  <c r="G908" i="1"/>
  <c r="G909" i="1"/>
  <c r="G910" i="1"/>
  <c r="G911" i="1"/>
  <c r="G912" i="1"/>
  <c r="G913" i="1"/>
  <c r="G914" i="1"/>
  <c r="G915" i="1"/>
  <c r="G916" i="1"/>
  <c r="G917" i="1"/>
  <c r="G918" i="1"/>
  <c r="G919" i="1"/>
  <c r="G920" i="1"/>
  <c r="G921" i="1"/>
  <c r="G922" i="1"/>
  <c r="G923" i="1"/>
  <c r="G924" i="1"/>
  <c r="G925" i="1"/>
  <c r="G926" i="1"/>
  <c r="G927" i="1"/>
  <c r="G928" i="1"/>
  <c r="G929" i="1"/>
  <c r="G930" i="1"/>
  <c r="G931" i="1"/>
  <c r="G932" i="1"/>
  <c r="G933" i="1"/>
  <c r="G934" i="1"/>
  <c r="G935" i="1"/>
  <c r="G936" i="1"/>
  <c r="G937" i="1"/>
  <c r="G938" i="1"/>
  <c r="G939" i="1"/>
  <c r="G940" i="1"/>
  <c r="G941" i="1"/>
  <c r="G942" i="1"/>
  <c r="G943" i="1"/>
  <c r="G944" i="1"/>
  <c r="G945" i="1"/>
  <c r="G946" i="1"/>
  <c r="G947" i="1"/>
  <c r="G948" i="1"/>
  <c r="G949" i="1"/>
  <c r="G950" i="1"/>
  <c r="G951" i="1"/>
  <c r="G952" i="1"/>
  <c r="G953" i="1"/>
  <c r="G954" i="1"/>
  <c r="G955" i="1"/>
  <c r="G956" i="1"/>
  <c r="G957" i="1"/>
  <c r="G958" i="1"/>
  <c r="G959" i="1"/>
  <c r="G960" i="1"/>
  <c r="G961" i="1"/>
  <c r="G962" i="1"/>
  <c r="G963" i="1"/>
  <c r="G964" i="1"/>
  <c r="G965" i="1"/>
  <c r="G966" i="1"/>
  <c r="G967" i="1"/>
  <c r="G968" i="1"/>
  <c r="G969" i="1"/>
  <c r="G970" i="1"/>
  <c r="G971" i="1"/>
  <c r="G972" i="1"/>
  <c r="G973" i="1"/>
  <c r="G974" i="1"/>
  <c r="G975" i="1"/>
  <c r="G976" i="1"/>
  <c r="G977" i="1"/>
  <c r="G978" i="1"/>
  <c r="G979" i="1"/>
  <c r="G980" i="1"/>
  <c r="G981" i="1"/>
  <c r="G982" i="1"/>
  <c r="G983" i="1"/>
  <c r="G984" i="1"/>
  <c r="G985" i="1"/>
  <c r="G986" i="1"/>
  <c r="G987" i="1"/>
  <c r="G988" i="1"/>
  <c r="G989" i="1"/>
  <c r="G990" i="1"/>
  <c r="G991" i="1"/>
  <c r="G992" i="1"/>
  <c r="G993" i="1"/>
  <c r="G994" i="1"/>
  <c r="G995" i="1"/>
  <c r="G996" i="1"/>
  <c r="G997" i="1"/>
  <c r="G998" i="1"/>
  <c r="G999" i="1"/>
  <c r="G1000" i="1"/>
  <c r="G1001" i="1"/>
  <c r="G1002" i="1"/>
  <c r="G1003" i="1"/>
  <c r="G1004" i="1"/>
  <c r="G1005" i="1"/>
  <c r="G1006" i="1"/>
  <c r="G1007" i="1"/>
  <c r="G1008" i="1"/>
  <c r="G1009" i="1"/>
  <c r="G1010" i="1"/>
  <c r="G1011" i="1"/>
  <c r="G1012" i="1"/>
  <c r="G1013" i="1"/>
  <c r="G1014" i="1"/>
  <c r="G1015" i="1"/>
  <c r="G1016" i="1"/>
  <c r="G1017" i="1"/>
  <c r="G1018" i="1"/>
  <c r="G1019" i="1"/>
  <c r="G1020" i="1"/>
  <c r="G1021" i="1"/>
  <c r="G1022" i="1"/>
  <c r="G1023" i="1"/>
  <c r="G1024" i="1"/>
  <c r="G1025" i="1"/>
  <c r="G1026" i="1"/>
  <c r="G1027" i="1"/>
  <c r="G1028" i="1"/>
  <c r="G1029" i="1"/>
  <c r="G1030" i="1"/>
  <c r="G1031" i="1"/>
  <c r="G1032" i="1"/>
  <c r="G1033" i="1"/>
  <c r="G1034" i="1"/>
  <c r="G1035" i="1"/>
  <c r="G1036" i="1"/>
  <c r="G1037" i="1"/>
  <c r="G1038" i="1"/>
  <c r="G1039" i="1"/>
  <c r="G1040" i="1"/>
  <c r="G1041" i="1"/>
  <c r="G1042" i="1"/>
  <c r="G1043" i="1"/>
  <c r="G1044" i="1"/>
  <c r="G1045" i="1"/>
  <c r="G1046" i="1"/>
  <c r="G1047" i="1"/>
  <c r="G1048" i="1"/>
  <c r="G1049" i="1"/>
  <c r="G1050" i="1"/>
  <c r="G1051" i="1"/>
  <c r="G1052" i="1"/>
  <c r="G1053" i="1"/>
  <c r="G1054" i="1"/>
  <c r="G1055" i="1"/>
  <c r="G1056" i="1"/>
  <c r="G1057" i="1"/>
  <c r="G1058" i="1"/>
  <c r="G1059" i="1"/>
  <c r="G1060" i="1"/>
  <c r="G1061" i="1"/>
  <c r="G1062" i="1"/>
  <c r="G1063" i="1"/>
  <c r="G1064" i="1"/>
  <c r="G1065" i="1"/>
  <c r="G1066" i="1"/>
  <c r="G1067" i="1"/>
  <c r="G1068" i="1"/>
  <c r="G1069" i="1"/>
  <c r="G1070" i="1"/>
  <c r="G1071" i="1"/>
  <c r="G1072" i="1"/>
  <c r="G1073" i="1"/>
  <c r="G1074" i="1"/>
  <c r="G1075" i="1"/>
  <c r="G1076" i="1"/>
  <c r="G1077" i="1"/>
  <c r="G1078" i="1"/>
  <c r="G1079" i="1"/>
  <c r="G1080" i="1"/>
  <c r="G1081" i="1"/>
  <c r="G1082" i="1"/>
  <c r="G1083" i="1"/>
  <c r="G1084" i="1"/>
  <c r="G1085" i="1"/>
  <c r="G1086" i="1"/>
  <c r="G1087" i="1"/>
  <c r="G1088" i="1"/>
  <c r="G1089" i="1"/>
  <c r="G1090" i="1"/>
  <c r="G1091" i="1"/>
  <c r="G1092" i="1"/>
  <c r="G1093" i="1"/>
  <c r="G1094" i="1"/>
  <c r="G1095" i="1"/>
  <c r="G1096" i="1"/>
  <c r="G1097" i="1"/>
  <c r="G1098" i="1"/>
  <c r="G1099" i="1"/>
  <c r="G1100" i="1"/>
  <c r="G1101" i="1"/>
  <c r="G1102" i="1"/>
  <c r="G1103" i="1"/>
  <c r="G1104" i="1"/>
  <c r="G1105" i="1"/>
  <c r="G1106" i="1"/>
  <c r="G1107" i="1"/>
  <c r="G1108" i="1"/>
  <c r="G1109" i="1"/>
  <c r="G1110" i="1"/>
  <c r="G1111" i="1"/>
  <c r="G1112" i="1"/>
  <c r="G1113" i="1"/>
  <c r="G1114" i="1"/>
  <c r="G1115" i="1"/>
  <c r="G1116" i="1"/>
  <c r="G1117" i="1"/>
  <c r="G1118" i="1"/>
  <c r="G1119" i="1"/>
  <c r="G1120" i="1"/>
  <c r="G1121" i="1"/>
  <c r="G1122" i="1"/>
  <c r="G1123" i="1"/>
  <c r="G1124" i="1"/>
  <c r="G1125" i="1"/>
  <c r="G1126" i="1"/>
  <c r="G1127" i="1"/>
  <c r="G1128" i="1"/>
  <c r="G1129" i="1"/>
  <c r="G1130" i="1"/>
  <c r="G1131" i="1"/>
  <c r="G1132" i="1"/>
  <c r="G1133" i="1"/>
  <c r="G1134" i="1"/>
  <c r="G1135" i="1"/>
  <c r="G1136" i="1"/>
  <c r="G1137" i="1"/>
  <c r="G1138" i="1"/>
  <c r="G1139" i="1"/>
  <c r="G1140" i="1"/>
  <c r="G1141" i="1"/>
  <c r="G1142" i="1"/>
  <c r="G1143" i="1"/>
  <c r="G1144" i="1"/>
  <c r="G1145" i="1"/>
  <c r="G1146" i="1"/>
  <c r="G1147" i="1"/>
  <c r="G1148" i="1"/>
  <c r="G1149" i="1"/>
  <c r="G1150" i="1"/>
  <c r="G1151" i="1"/>
  <c r="G1152" i="1"/>
  <c r="G1153" i="1"/>
  <c r="G1154" i="1"/>
  <c r="G1155" i="1"/>
  <c r="G1156" i="1"/>
  <c r="G1157" i="1"/>
  <c r="G1158" i="1"/>
  <c r="G1159" i="1"/>
  <c r="G1160" i="1"/>
  <c r="G1161" i="1"/>
  <c r="G1162" i="1"/>
  <c r="G1163" i="1"/>
  <c r="G1164" i="1"/>
  <c r="G1165" i="1"/>
  <c r="G1166" i="1"/>
  <c r="G1167" i="1"/>
  <c r="G1168" i="1"/>
  <c r="G1169" i="1"/>
  <c r="G1170" i="1"/>
  <c r="G1171" i="1"/>
  <c r="G1172" i="1"/>
  <c r="G1173" i="1"/>
  <c r="G1174" i="1"/>
  <c r="G1175" i="1"/>
  <c r="G1176" i="1"/>
  <c r="G1177" i="1"/>
  <c r="G1178" i="1"/>
  <c r="G1179" i="1"/>
  <c r="G1180" i="1"/>
  <c r="G1181" i="1"/>
  <c r="G1182" i="1"/>
  <c r="G1183" i="1"/>
  <c r="G1184" i="1"/>
  <c r="G1185" i="1"/>
  <c r="G1186" i="1"/>
  <c r="G1187" i="1"/>
  <c r="G1188" i="1"/>
  <c r="G1189" i="1"/>
  <c r="G1190" i="1"/>
  <c r="G1191" i="1"/>
  <c r="G1192" i="1"/>
  <c r="G1193" i="1"/>
  <c r="G1194" i="1"/>
  <c r="G1195" i="1"/>
  <c r="G1196" i="1"/>
  <c r="G1197" i="1"/>
  <c r="G1198" i="1"/>
  <c r="G1199" i="1"/>
  <c r="G1200" i="1"/>
  <c r="G1201" i="1"/>
  <c r="G1202" i="1"/>
  <c r="G1203" i="1"/>
  <c r="G1204" i="1"/>
  <c r="G1205" i="1"/>
  <c r="G1206" i="1"/>
  <c r="G1207" i="1"/>
  <c r="G1208" i="1"/>
  <c r="G1209" i="1"/>
  <c r="G1210" i="1"/>
  <c r="G1211" i="1"/>
  <c r="G1212" i="1"/>
  <c r="G1213" i="1"/>
  <c r="G1214" i="1"/>
  <c r="G1215" i="1"/>
  <c r="G1216" i="1"/>
  <c r="G1217" i="1"/>
  <c r="G1218" i="1"/>
  <c r="G1219" i="1"/>
  <c r="G1220" i="1"/>
  <c r="G1221" i="1"/>
  <c r="G1222" i="1"/>
  <c r="G1223" i="1"/>
  <c r="G1224" i="1"/>
  <c r="G1225" i="1"/>
  <c r="G1226" i="1"/>
  <c r="G1227" i="1"/>
  <c r="G1228" i="1"/>
  <c r="G1229" i="1"/>
  <c r="G1230" i="1"/>
  <c r="G1231" i="1"/>
  <c r="G1232" i="1"/>
  <c r="G1233" i="1"/>
  <c r="G1234" i="1"/>
  <c r="G1235" i="1"/>
  <c r="G1236" i="1"/>
  <c r="G1237" i="1"/>
  <c r="G1238" i="1"/>
  <c r="G1239" i="1"/>
  <c r="G1240" i="1"/>
  <c r="G1241" i="1"/>
  <c r="G1242" i="1"/>
  <c r="G1243" i="1"/>
  <c r="G1244" i="1"/>
  <c r="G1245" i="1"/>
  <c r="G1246" i="1"/>
  <c r="G1247" i="1"/>
  <c r="G1248" i="1"/>
  <c r="G1249" i="1"/>
  <c r="G1250" i="1"/>
  <c r="G1251" i="1"/>
  <c r="G1252" i="1"/>
  <c r="G1253" i="1"/>
  <c r="G1254" i="1"/>
  <c r="G1255" i="1"/>
  <c r="G1256" i="1"/>
  <c r="G1257" i="1"/>
  <c r="G1258" i="1"/>
  <c r="G1259" i="1"/>
  <c r="G1260" i="1"/>
  <c r="G1261" i="1"/>
  <c r="G1262" i="1"/>
  <c r="G1263" i="1"/>
  <c r="G1264" i="1"/>
  <c r="G1265" i="1"/>
  <c r="G1266" i="1"/>
  <c r="G1267" i="1"/>
  <c r="G1268" i="1"/>
  <c r="G1269" i="1"/>
  <c r="G1270" i="1"/>
  <c r="G1271" i="1"/>
  <c r="G1272" i="1"/>
  <c r="G1273" i="1"/>
  <c r="G1274" i="1"/>
  <c r="G1275" i="1"/>
  <c r="G1276" i="1"/>
  <c r="G1277" i="1"/>
  <c r="G1278" i="1"/>
  <c r="G1279" i="1"/>
  <c r="G1280" i="1"/>
  <c r="G1281" i="1"/>
  <c r="G1282" i="1"/>
  <c r="G1283" i="1"/>
  <c r="G1284" i="1"/>
  <c r="G1285" i="1"/>
  <c r="G1286" i="1"/>
  <c r="G1287" i="1"/>
  <c r="G1288" i="1"/>
  <c r="G1289" i="1"/>
  <c r="G1290" i="1"/>
  <c r="G1291" i="1"/>
  <c r="G1292" i="1"/>
  <c r="G1293" i="1"/>
  <c r="G1294" i="1"/>
  <c r="G1295" i="1"/>
  <c r="G1296" i="1"/>
  <c r="G1297" i="1"/>
  <c r="G1298" i="1"/>
  <c r="G1299" i="1"/>
  <c r="G1300" i="1"/>
  <c r="G1301" i="1"/>
  <c r="G1302" i="1"/>
  <c r="G1303" i="1"/>
  <c r="G1304" i="1"/>
  <c r="G1305" i="1"/>
  <c r="G1306" i="1"/>
  <c r="G1307" i="1"/>
  <c r="G1308" i="1"/>
  <c r="G1309" i="1"/>
  <c r="G1310" i="1"/>
  <c r="G1311" i="1"/>
  <c r="G1312" i="1"/>
  <c r="G1313" i="1"/>
  <c r="G1314" i="1"/>
  <c r="G1315" i="1"/>
  <c r="G1316" i="1"/>
  <c r="G1317" i="1"/>
  <c r="G1318" i="1"/>
  <c r="G1319" i="1"/>
  <c r="G1320" i="1"/>
  <c r="G1321" i="1"/>
  <c r="G1322" i="1"/>
  <c r="G1323" i="1"/>
  <c r="G1324" i="1"/>
  <c r="G1325" i="1"/>
  <c r="G1326" i="1"/>
  <c r="G1327" i="1"/>
  <c r="G1328" i="1"/>
  <c r="G1329" i="1"/>
  <c r="G1330" i="1"/>
  <c r="G1331" i="1"/>
  <c r="G1332" i="1"/>
  <c r="G1333" i="1"/>
  <c r="G1334" i="1"/>
  <c r="G1335" i="1"/>
  <c r="G1336" i="1"/>
  <c r="G1337" i="1"/>
  <c r="G1338" i="1"/>
  <c r="G1339" i="1"/>
  <c r="G1340" i="1"/>
  <c r="G1341" i="1"/>
  <c r="G1342" i="1"/>
  <c r="G1343" i="1"/>
  <c r="G1344" i="1"/>
  <c r="G1345" i="1"/>
  <c r="G1346" i="1"/>
  <c r="G1347" i="1"/>
  <c r="G1348" i="1"/>
  <c r="G1349" i="1"/>
  <c r="G1350" i="1"/>
  <c r="G1351" i="1"/>
  <c r="G1352" i="1"/>
  <c r="G1353" i="1"/>
  <c r="G1354" i="1"/>
  <c r="G1355" i="1"/>
  <c r="G1356" i="1"/>
  <c r="G1357" i="1"/>
  <c r="G1358" i="1"/>
  <c r="G1359" i="1"/>
  <c r="G1360" i="1"/>
  <c r="G1361" i="1"/>
  <c r="G1362" i="1"/>
  <c r="G1363" i="1"/>
  <c r="G1364" i="1"/>
  <c r="G1365" i="1"/>
  <c r="G1366" i="1"/>
  <c r="G1367" i="1"/>
  <c r="G1368" i="1"/>
  <c r="G1369" i="1"/>
  <c r="G1370" i="1"/>
  <c r="G1371" i="1"/>
  <c r="G1372" i="1"/>
  <c r="G1373" i="1"/>
  <c r="G1374" i="1"/>
  <c r="G1375" i="1"/>
  <c r="G1376" i="1"/>
  <c r="G1377" i="1"/>
  <c r="G1378" i="1"/>
  <c r="G1379" i="1"/>
  <c r="G1380" i="1"/>
  <c r="G1381" i="1"/>
  <c r="G1382" i="1"/>
  <c r="G1383" i="1"/>
  <c r="G1384" i="1"/>
  <c r="G1385" i="1"/>
  <c r="G1386" i="1"/>
  <c r="G1387" i="1"/>
  <c r="G1388" i="1"/>
  <c r="G1389" i="1"/>
  <c r="G1390" i="1"/>
  <c r="G1391" i="1"/>
  <c r="G1392" i="1"/>
  <c r="G1393" i="1"/>
  <c r="G1394" i="1"/>
  <c r="G1395" i="1"/>
  <c r="G1396" i="1"/>
  <c r="G1397" i="1"/>
  <c r="G1398" i="1"/>
  <c r="G1399" i="1"/>
  <c r="G1400" i="1"/>
  <c r="G1401" i="1"/>
  <c r="G1402" i="1"/>
  <c r="G1403" i="1"/>
  <c r="G1404" i="1"/>
  <c r="G1405" i="1"/>
  <c r="G1406" i="1"/>
  <c r="G1407" i="1"/>
  <c r="G1408" i="1"/>
  <c r="G1409" i="1"/>
  <c r="G1410" i="1"/>
  <c r="G1411" i="1"/>
  <c r="G1412" i="1"/>
  <c r="G1413" i="1"/>
  <c r="G1414" i="1"/>
  <c r="G1415" i="1"/>
  <c r="G1416" i="1"/>
  <c r="G1417" i="1"/>
  <c r="G1418" i="1"/>
  <c r="G1419" i="1"/>
  <c r="G1420" i="1"/>
  <c r="G1421" i="1"/>
  <c r="G1422" i="1"/>
  <c r="G1423" i="1"/>
  <c r="G1424" i="1"/>
  <c r="G1425" i="1"/>
  <c r="G1426" i="1"/>
  <c r="G1427" i="1"/>
  <c r="G1428" i="1"/>
  <c r="G1429" i="1"/>
  <c r="G1430" i="1"/>
  <c r="G1431" i="1"/>
  <c r="G1432" i="1"/>
  <c r="G1433" i="1"/>
  <c r="G1434" i="1"/>
  <c r="G1435" i="1"/>
  <c r="G1436" i="1"/>
  <c r="G1437" i="1"/>
  <c r="G1438" i="1"/>
  <c r="G1439" i="1"/>
  <c r="G1440" i="1"/>
  <c r="G1441" i="1"/>
  <c r="G1442" i="1"/>
  <c r="G1443" i="1"/>
  <c r="G1444" i="1"/>
  <c r="G1445" i="1"/>
  <c r="G1446" i="1"/>
  <c r="G1447" i="1"/>
  <c r="G1448" i="1"/>
  <c r="G1449" i="1"/>
  <c r="G1450" i="1"/>
  <c r="G1451" i="1"/>
  <c r="G1452" i="1"/>
  <c r="G1453" i="1"/>
  <c r="G1454" i="1"/>
  <c r="G1455" i="1"/>
  <c r="G1456" i="1"/>
  <c r="G1457" i="1"/>
  <c r="G1458" i="1"/>
  <c r="G1459" i="1"/>
  <c r="G1460" i="1"/>
  <c r="G1461" i="1"/>
  <c r="G1462" i="1"/>
  <c r="G1463" i="1"/>
  <c r="G1464" i="1"/>
  <c r="G1465" i="1"/>
  <c r="G1466" i="1"/>
  <c r="G1467" i="1"/>
  <c r="G1468" i="1"/>
  <c r="G1469" i="1"/>
  <c r="G1470" i="1"/>
  <c r="G1471" i="1"/>
  <c r="G1472" i="1"/>
  <c r="G1473" i="1"/>
  <c r="G1474" i="1"/>
  <c r="G1475" i="1"/>
  <c r="G1476" i="1"/>
  <c r="G1477" i="1"/>
  <c r="G1478" i="1"/>
  <c r="G1479" i="1"/>
  <c r="G1480" i="1"/>
  <c r="G1481" i="1"/>
  <c r="G1482" i="1"/>
  <c r="G1483" i="1"/>
  <c r="G1484" i="1"/>
  <c r="G1485" i="1"/>
  <c r="G1486" i="1"/>
  <c r="G1487" i="1"/>
  <c r="G1488" i="1"/>
  <c r="G1489" i="1"/>
  <c r="G1490" i="1"/>
  <c r="G1491" i="1"/>
  <c r="G1492" i="1"/>
  <c r="G1493" i="1"/>
  <c r="G1494" i="1"/>
  <c r="G1495" i="1"/>
  <c r="G1496" i="1"/>
  <c r="G1497" i="1"/>
  <c r="G1498" i="1"/>
  <c r="G1499" i="1"/>
  <c r="G1500" i="1"/>
  <c r="G1501" i="1"/>
  <c r="F2" i="1"/>
  <c r="F3" i="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F157" i="1"/>
  <c r="F158" i="1"/>
  <c r="F159" i="1"/>
  <c r="F160" i="1"/>
  <c r="F161" i="1"/>
  <c r="F162" i="1"/>
  <c r="F163" i="1"/>
  <c r="F164" i="1"/>
  <c r="F165" i="1"/>
  <c r="F166" i="1"/>
  <c r="F167" i="1"/>
  <c r="F168" i="1"/>
  <c r="F169" i="1"/>
  <c r="F170" i="1"/>
  <c r="F171" i="1"/>
  <c r="F172" i="1"/>
  <c r="F173" i="1"/>
  <c r="F174" i="1"/>
  <c r="F175" i="1"/>
  <c r="F176" i="1"/>
  <c r="F177" i="1"/>
  <c r="F178" i="1"/>
  <c r="F179" i="1"/>
  <c r="F180" i="1"/>
  <c r="F181" i="1"/>
  <c r="F182" i="1"/>
  <c r="F183" i="1"/>
  <c r="F184" i="1"/>
  <c r="F185" i="1"/>
  <c r="F186" i="1"/>
  <c r="F187" i="1"/>
  <c r="F188" i="1"/>
  <c r="F189" i="1"/>
  <c r="F190" i="1"/>
  <c r="F191" i="1"/>
  <c r="F192" i="1"/>
  <c r="F193" i="1"/>
  <c r="F194" i="1"/>
  <c r="F195" i="1"/>
  <c r="F196" i="1"/>
  <c r="F197" i="1"/>
  <c r="F198" i="1"/>
  <c r="F199" i="1"/>
  <c r="F200" i="1"/>
  <c r="F201" i="1"/>
  <c r="F202" i="1"/>
  <c r="F203" i="1"/>
  <c r="F204" i="1"/>
  <c r="F205" i="1"/>
  <c r="F206" i="1"/>
  <c r="F207" i="1"/>
  <c r="F208" i="1"/>
  <c r="F209" i="1"/>
  <c r="F210" i="1"/>
  <c r="F211" i="1"/>
  <c r="F212" i="1"/>
  <c r="F213" i="1"/>
  <c r="F214" i="1"/>
  <c r="F215" i="1"/>
  <c r="F216" i="1"/>
  <c r="F217" i="1"/>
  <c r="F218" i="1"/>
  <c r="F219" i="1"/>
  <c r="F220" i="1"/>
  <c r="F221" i="1"/>
  <c r="F222" i="1"/>
  <c r="F223" i="1"/>
  <c r="F224" i="1"/>
  <c r="F225" i="1"/>
  <c r="F226" i="1"/>
  <c r="F227" i="1"/>
  <c r="F228" i="1"/>
  <c r="F229" i="1"/>
  <c r="F230" i="1"/>
  <c r="F231" i="1"/>
  <c r="F232" i="1"/>
  <c r="F233" i="1"/>
  <c r="F234" i="1"/>
  <c r="F235" i="1"/>
  <c r="F236" i="1"/>
  <c r="F237" i="1"/>
  <c r="F238" i="1"/>
  <c r="F239" i="1"/>
  <c r="F240" i="1"/>
  <c r="F241" i="1"/>
  <c r="F242" i="1"/>
  <c r="F243" i="1"/>
  <c r="F244" i="1"/>
  <c r="F245" i="1"/>
  <c r="F246" i="1"/>
  <c r="F247" i="1"/>
  <c r="F248" i="1"/>
  <c r="F249" i="1"/>
  <c r="F250" i="1"/>
  <c r="F251" i="1"/>
  <c r="F252" i="1"/>
  <c r="F253" i="1"/>
  <c r="F254" i="1"/>
  <c r="F255" i="1"/>
  <c r="F256" i="1"/>
  <c r="F257" i="1"/>
  <c r="F258" i="1"/>
  <c r="F259" i="1"/>
  <c r="F260" i="1"/>
  <c r="F261" i="1"/>
  <c r="F262" i="1"/>
  <c r="F263" i="1"/>
  <c r="F264" i="1"/>
  <c r="F265" i="1"/>
  <c r="F266" i="1"/>
  <c r="F267" i="1"/>
  <c r="F268" i="1"/>
  <c r="F269" i="1"/>
  <c r="F270" i="1"/>
  <c r="F271" i="1"/>
  <c r="F272" i="1"/>
  <c r="F273" i="1"/>
  <c r="F274" i="1"/>
  <c r="F275" i="1"/>
  <c r="F276" i="1"/>
  <c r="F277" i="1"/>
  <c r="F278" i="1"/>
  <c r="F279" i="1"/>
  <c r="F280" i="1"/>
  <c r="F281" i="1"/>
  <c r="F282" i="1"/>
  <c r="F283" i="1"/>
  <c r="F284" i="1"/>
  <c r="F285" i="1"/>
  <c r="F286" i="1"/>
  <c r="F287" i="1"/>
  <c r="F288" i="1"/>
  <c r="F289" i="1"/>
  <c r="F290" i="1"/>
  <c r="F291" i="1"/>
  <c r="F292" i="1"/>
  <c r="F293" i="1"/>
  <c r="F294" i="1"/>
  <c r="F295" i="1"/>
  <c r="F296" i="1"/>
  <c r="F297" i="1"/>
  <c r="F298" i="1"/>
  <c r="F299" i="1"/>
  <c r="F300" i="1"/>
  <c r="F301" i="1"/>
  <c r="F302" i="1"/>
  <c r="F303" i="1"/>
  <c r="F304" i="1"/>
  <c r="F305" i="1"/>
  <c r="F306" i="1"/>
  <c r="F307" i="1"/>
  <c r="F308" i="1"/>
  <c r="F309" i="1"/>
  <c r="F310" i="1"/>
  <c r="F311" i="1"/>
  <c r="F312" i="1"/>
  <c r="F313" i="1"/>
  <c r="F314" i="1"/>
  <c r="F315" i="1"/>
  <c r="F316" i="1"/>
  <c r="F317" i="1"/>
  <c r="F318" i="1"/>
  <c r="F319" i="1"/>
  <c r="F320" i="1"/>
  <c r="F321" i="1"/>
  <c r="F322" i="1"/>
  <c r="F323" i="1"/>
  <c r="F324" i="1"/>
  <c r="F325" i="1"/>
  <c r="F326" i="1"/>
  <c r="F327" i="1"/>
  <c r="F328" i="1"/>
  <c r="F329" i="1"/>
  <c r="F330" i="1"/>
  <c r="F331" i="1"/>
  <c r="F332" i="1"/>
  <c r="F333" i="1"/>
  <c r="F334" i="1"/>
  <c r="F335" i="1"/>
  <c r="F336" i="1"/>
  <c r="F337" i="1"/>
  <c r="F338" i="1"/>
  <c r="F339" i="1"/>
  <c r="F340" i="1"/>
  <c r="F341" i="1"/>
  <c r="F342" i="1"/>
  <c r="F343" i="1"/>
  <c r="F344" i="1"/>
  <c r="F345" i="1"/>
  <c r="F346" i="1"/>
  <c r="F347" i="1"/>
  <c r="F348" i="1"/>
  <c r="F349" i="1"/>
  <c r="F350" i="1"/>
  <c r="F351" i="1"/>
  <c r="F352" i="1"/>
  <c r="F353" i="1"/>
  <c r="F354" i="1"/>
  <c r="F355" i="1"/>
  <c r="F356" i="1"/>
  <c r="F357" i="1"/>
  <c r="F358" i="1"/>
  <c r="F359" i="1"/>
  <c r="F360" i="1"/>
  <c r="F361" i="1"/>
  <c r="F362" i="1"/>
  <c r="F363" i="1"/>
  <c r="F364" i="1"/>
  <c r="F365" i="1"/>
  <c r="F366" i="1"/>
  <c r="F367" i="1"/>
  <c r="F368" i="1"/>
  <c r="F369" i="1"/>
  <c r="F370" i="1"/>
  <c r="F371" i="1"/>
  <c r="F372" i="1"/>
  <c r="F373" i="1"/>
  <c r="F374" i="1"/>
  <c r="F375" i="1"/>
  <c r="F376" i="1"/>
  <c r="F377" i="1"/>
  <c r="F378" i="1"/>
  <c r="F379" i="1"/>
  <c r="F380" i="1"/>
  <c r="F381" i="1"/>
  <c r="F382" i="1"/>
  <c r="F383" i="1"/>
  <c r="F384" i="1"/>
  <c r="F385" i="1"/>
  <c r="F386" i="1"/>
  <c r="F387" i="1"/>
  <c r="F388" i="1"/>
  <c r="F389" i="1"/>
  <c r="F390" i="1"/>
  <c r="F391" i="1"/>
  <c r="F392" i="1"/>
  <c r="F393" i="1"/>
  <c r="F394" i="1"/>
  <c r="F395" i="1"/>
  <c r="F396" i="1"/>
  <c r="F397" i="1"/>
  <c r="F398" i="1"/>
  <c r="F399" i="1"/>
  <c r="F400" i="1"/>
  <c r="F401" i="1"/>
  <c r="F402" i="1"/>
  <c r="F403" i="1"/>
  <c r="F404" i="1"/>
  <c r="F405" i="1"/>
  <c r="F406" i="1"/>
  <c r="F407" i="1"/>
  <c r="F408" i="1"/>
  <c r="F409" i="1"/>
  <c r="F410" i="1"/>
  <c r="F411" i="1"/>
  <c r="F412" i="1"/>
  <c r="F413" i="1"/>
  <c r="F414" i="1"/>
  <c r="F415" i="1"/>
  <c r="F416" i="1"/>
  <c r="F417" i="1"/>
  <c r="F418" i="1"/>
  <c r="F419" i="1"/>
  <c r="F420" i="1"/>
  <c r="F421" i="1"/>
  <c r="F422" i="1"/>
  <c r="F423" i="1"/>
  <c r="F424" i="1"/>
  <c r="F425" i="1"/>
  <c r="F426" i="1"/>
  <c r="F427" i="1"/>
  <c r="F428" i="1"/>
  <c r="F429" i="1"/>
  <c r="F430" i="1"/>
  <c r="F431" i="1"/>
  <c r="F432" i="1"/>
  <c r="F433" i="1"/>
  <c r="F434" i="1"/>
  <c r="F435" i="1"/>
  <c r="F436" i="1"/>
  <c r="F437" i="1"/>
  <c r="F438" i="1"/>
  <c r="F439" i="1"/>
  <c r="F440" i="1"/>
  <c r="F441" i="1"/>
  <c r="F442" i="1"/>
  <c r="F443" i="1"/>
  <c r="F444" i="1"/>
  <c r="F445" i="1"/>
  <c r="F446" i="1"/>
  <c r="F447" i="1"/>
  <c r="F448" i="1"/>
  <c r="F449" i="1"/>
  <c r="F450" i="1"/>
  <c r="F451" i="1"/>
  <c r="F452" i="1"/>
  <c r="F453" i="1"/>
  <c r="F454" i="1"/>
  <c r="F455" i="1"/>
  <c r="F456" i="1"/>
  <c r="F457" i="1"/>
  <c r="F458" i="1"/>
  <c r="F459" i="1"/>
  <c r="F460" i="1"/>
  <c r="F461" i="1"/>
  <c r="F462" i="1"/>
  <c r="F463" i="1"/>
  <c r="F464" i="1"/>
  <c r="F465" i="1"/>
  <c r="F466" i="1"/>
  <c r="F467" i="1"/>
  <c r="F468" i="1"/>
  <c r="F469" i="1"/>
  <c r="F470" i="1"/>
  <c r="F471" i="1"/>
  <c r="F472" i="1"/>
  <c r="F473" i="1"/>
  <c r="F474" i="1"/>
  <c r="F475" i="1"/>
  <c r="F476" i="1"/>
  <c r="F477" i="1"/>
  <c r="F478" i="1"/>
  <c r="F479" i="1"/>
  <c r="F480" i="1"/>
  <c r="F481" i="1"/>
  <c r="F482" i="1"/>
  <c r="F483" i="1"/>
  <c r="F484" i="1"/>
  <c r="F485" i="1"/>
  <c r="F486" i="1"/>
  <c r="F487" i="1"/>
  <c r="F488" i="1"/>
  <c r="F489" i="1"/>
  <c r="F490" i="1"/>
  <c r="F491" i="1"/>
  <c r="F492" i="1"/>
  <c r="F493" i="1"/>
  <c r="F494" i="1"/>
  <c r="F495" i="1"/>
  <c r="F496" i="1"/>
  <c r="F497" i="1"/>
  <c r="F498" i="1"/>
  <c r="F499" i="1"/>
  <c r="F500" i="1"/>
  <c r="F501" i="1"/>
  <c r="F502" i="1"/>
  <c r="F503" i="1"/>
  <c r="F504" i="1"/>
  <c r="F505" i="1"/>
  <c r="F506" i="1"/>
  <c r="F507" i="1"/>
  <c r="F508" i="1"/>
  <c r="F509" i="1"/>
  <c r="F510" i="1"/>
  <c r="F511" i="1"/>
  <c r="F512" i="1"/>
  <c r="F513" i="1"/>
  <c r="F514" i="1"/>
  <c r="F515" i="1"/>
  <c r="F516" i="1"/>
  <c r="F517" i="1"/>
  <c r="F518" i="1"/>
  <c r="F519" i="1"/>
  <c r="F520" i="1"/>
  <c r="F521" i="1"/>
  <c r="F522" i="1"/>
  <c r="F523" i="1"/>
  <c r="F524" i="1"/>
  <c r="F525" i="1"/>
  <c r="F526" i="1"/>
  <c r="F527" i="1"/>
  <c r="F528" i="1"/>
  <c r="F529" i="1"/>
  <c r="F530" i="1"/>
  <c r="F531" i="1"/>
  <c r="F532" i="1"/>
  <c r="F533" i="1"/>
  <c r="F534" i="1"/>
  <c r="F535" i="1"/>
  <c r="F536" i="1"/>
  <c r="F537" i="1"/>
  <c r="F538" i="1"/>
  <c r="F539" i="1"/>
  <c r="F540" i="1"/>
  <c r="F541" i="1"/>
  <c r="F542" i="1"/>
  <c r="F543" i="1"/>
  <c r="F544" i="1"/>
  <c r="F545" i="1"/>
  <c r="F546" i="1"/>
  <c r="F547" i="1"/>
  <c r="F548" i="1"/>
  <c r="F549" i="1"/>
  <c r="F550" i="1"/>
  <c r="F551" i="1"/>
  <c r="F552" i="1"/>
  <c r="F553" i="1"/>
  <c r="F554" i="1"/>
  <c r="F555" i="1"/>
  <c r="F556" i="1"/>
  <c r="F557" i="1"/>
  <c r="F558" i="1"/>
  <c r="F559" i="1"/>
  <c r="F560" i="1"/>
  <c r="F561" i="1"/>
  <c r="F562" i="1"/>
  <c r="F563" i="1"/>
  <c r="F564" i="1"/>
  <c r="F565" i="1"/>
  <c r="F566" i="1"/>
  <c r="F567" i="1"/>
  <c r="F568" i="1"/>
  <c r="F569" i="1"/>
  <c r="F570" i="1"/>
  <c r="F571" i="1"/>
  <c r="F572" i="1"/>
  <c r="F573" i="1"/>
  <c r="F574" i="1"/>
  <c r="F575" i="1"/>
  <c r="F576" i="1"/>
  <c r="F577" i="1"/>
  <c r="F578" i="1"/>
  <c r="F579" i="1"/>
  <c r="F580" i="1"/>
  <c r="F581" i="1"/>
  <c r="F582" i="1"/>
  <c r="F583" i="1"/>
  <c r="F584" i="1"/>
  <c r="F585" i="1"/>
  <c r="F586" i="1"/>
  <c r="F587" i="1"/>
  <c r="F588" i="1"/>
  <c r="F589" i="1"/>
  <c r="F590" i="1"/>
  <c r="F591" i="1"/>
  <c r="F592" i="1"/>
  <c r="F593" i="1"/>
  <c r="F594" i="1"/>
  <c r="F595" i="1"/>
  <c r="F596" i="1"/>
  <c r="F597" i="1"/>
  <c r="F598" i="1"/>
  <c r="F599" i="1"/>
  <c r="F600" i="1"/>
  <c r="F601" i="1"/>
  <c r="F602" i="1"/>
  <c r="F603" i="1"/>
  <c r="F604" i="1"/>
  <c r="F605" i="1"/>
  <c r="F606" i="1"/>
  <c r="F607" i="1"/>
  <c r="F608" i="1"/>
  <c r="F609" i="1"/>
  <c r="F610" i="1"/>
  <c r="F611" i="1"/>
  <c r="F612" i="1"/>
  <c r="F613" i="1"/>
  <c r="F614" i="1"/>
  <c r="F615" i="1"/>
  <c r="F616" i="1"/>
  <c r="F617" i="1"/>
  <c r="F618" i="1"/>
  <c r="F619" i="1"/>
  <c r="F620" i="1"/>
  <c r="F621" i="1"/>
  <c r="F622" i="1"/>
  <c r="F623" i="1"/>
  <c r="F624" i="1"/>
  <c r="F625" i="1"/>
  <c r="F626" i="1"/>
  <c r="F627" i="1"/>
  <c r="F628" i="1"/>
  <c r="F629" i="1"/>
  <c r="F630" i="1"/>
  <c r="F631" i="1"/>
  <c r="F632" i="1"/>
  <c r="F633" i="1"/>
  <c r="F634" i="1"/>
  <c r="F635" i="1"/>
  <c r="F636" i="1"/>
  <c r="F637" i="1"/>
  <c r="F638" i="1"/>
  <c r="F639" i="1"/>
  <c r="F640" i="1"/>
  <c r="F641" i="1"/>
  <c r="F642" i="1"/>
  <c r="F643" i="1"/>
  <c r="F644" i="1"/>
  <c r="F645" i="1"/>
  <c r="F646" i="1"/>
  <c r="F647" i="1"/>
  <c r="F648" i="1"/>
  <c r="F649" i="1"/>
  <c r="F650" i="1"/>
  <c r="F651" i="1"/>
  <c r="F652" i="1"/>
  <c r="F653" i="1"/>
  <c r="F654" i="1"/>
  <c r="F655" i="1"/>
  <c r="F656" i="1"/>
  <c r="F657" i="1"/>
  <c r="F658" i="1"/>
  <c r="F659" i="1"/>
  <c r="F660" i="1"/>
  <c r="F661" i="1"/>
  <c r="F662" i="1"/>
  <c r="F663" i="1"/>
  <c r="F664" i="1"/>
  <c r="F665" i="1"/>
  <c r="F666" i="1"/>
  <c r="F667" i="1"/>
  <c r="F668" i="1"/>
  <c r="F669" i="1"/>
  <c r="F670" i="1"/>
  <c r="F671" i="1"/>
  <c r="F672" i="1"/>
  <c r="F673" i="1"/>
  <c r="F674" i="1"/>
  <c r="F675" i="1"/>
  <c r="F676" i="1"/>
  <c r="F677" i="1"/>
  <c r="F678" i="1"/>
  <c r="F679" i="1"/>
  <c r="F680" i="1"/>
  <c r="F681" i="1"/>
  <c r="F682" i="1"/>
  <c r="F683" i="1"/>
  <c r="F684" i="1"/>
  <c r="F685" i="1"/>
  <c r="F686" i="1"/>
  <c r="F687" i="1"/>
  <c r="F688" i="1"/>
  <c r="F689" i="1"/>
  <c r="F690" i="1"/>
  <c r="F691" i="1"/>
  <c r="F692" i="1"/>
  <c r="F693" i="1"/>
  <c r="F694" i="1"/>
  <c r="F695" i="1"/>
  <c r="F696" i="1"/>
  <c r="F697" i="1"/>
  <c r="F698" i="1"/>
  <c r="F699" i="1"/>
  <c r="F700" i="1"/>
  <c r="F701" i="1"/>
  <c r="F702" i="1"/>
  <c r="F703" i="1"/>
  <c r="F704" i="1"/>
  <c r="F705" i="1"/>
  <c r="F706" i="1"/>
  <c r="F707" i="1"/>
  <c r="F708" i="1"/>
  <c r="F709" i="1"/>
  <c r="F710" i="1"/>
  <c r="F711" i="1"/>
  <c r="F712" i="1"/>
  <c r="F713" i="1"/>
  <c r="F714" i="1"/>
  <c r="F715" i="1"/>
  <c r="F716" i="1"/>
  <c r="F717" i="1"/>
  <c r="F718" i="1"/>
  <c r="F719" i="1"/>
  <c r="F720" i="1"/>
  <c r="F721" i="1"/>
  <c r="F722" i="1"/>
  <c r="F723" i="1"/>
  <c r="F724" i="1"/>
  <c r="F725" i="1"/>
  <c r="F726" i="1"/>
  <c r="F727" i="1"/>
  <c r="F728" i="1"/>
  <c r="F729" i="1"/>
  <c r="F730" i="1"/>
  <c r="F731" i="1"/>
  <c r="F732" i="1"/>
  <c r="F733" i="1"/>
  <c r="F734" i="1"/>
  <c r="F735" i="1"/>
  <c r="F736" i="1"/>
  <c r="F737" i="1"/>
  <c r="F738" i="1"/>
  <c r="F739" i="1"/>
  <c r="F740" i="1"/>
  <c r="F741" i="1"/>
  <c r="F742" i="1"/>
  <c r="F743" i="1"/>
  <c r="F744" i="1"/>
  <c r="F745" i="1"/>
  <c r="F746" i="1"/>
  <c r="F747" i="1"/>
  <c r="F748" i="1"/>
  <c r="F749" i="1"/>
  <c r="F750" i="1"/>
  <c r="F751" i="1"/>
  <c r="F752" i="1"/>
  <c r="F753" i="1"/>
  <c r="F754" i="1"/>
  <c r="F755" i="1"/>
  <c r="F756" i="1"/>
  <c r="F757" i="1"/>
  <c r="F758" i="1"/>
  <c r="F759" i="1"/>
  <c r="F760" i="1"/>
  <c r="F761" i="1"/>
  <c r="F762" i="1"/>
  <c r="F763" i="1"/>
  <c r="F764" i="1"/>
  <c r="F765" i="1"/>
  <c r="F766" i="1"/>
  <c r="F767" i="1"/>
  <c r="F768" i="1"/>
  <c r="F769" i="1"/>
  <c r="F770" i="1"/>
  <c r="F771" i="1"/>
  <c r="F772" i="1"/>
  <c r="F773" i="1"/>
  <c r="F774" i="1"/>
  <c r="F775" i="1"/>
  <c r="F776" i="1"/>
  <c r="F777" i="1"/>
  <c r="F778" i="1"/>
  <c r="F779" i="1"/>
  <c r="F780" i="1"/>
  <c r="F781" i="1"/>
  <c r="F782" i="1"/>
  <c r="F783" i="1"/>
  <c r="F784" i="1"/>
  <c r="F785" i="1"/>
  <c r="F786" i="1"/>
  <c r="F787" i="1"/>
  <c r="F788" i="1"/>
  <c r="F789" i="1"/>
  <c r="F790" i="1"/>
  <c r="F791" i="1"/>
  <c r="F792" i="1"/>
  <c r="F793" i="1"/>
  <c r="F794" i="1"/>
  <c r="F795" i="1"/>
  <c r="F796" i="1"/>
  <c r="F797" i="1"/>
  <c r="F798" i="1"/>
  <c r="F799" i="1"/>
  <c r="F800" i="1"/>
  <c r="F801" i="1"/>
  <c r="F802" i="1"/>
  <c r="F803" i="1"/>
  <c r="F804" i="1"/>
  <c r="F805" i="1"/>
  <c r="F806" i="1"/>
  <c r="F807" i="1"/>
  <c r="F808" i="1"/>
  <c r="F809" i="1"/>
  <c r="F810" i="1"/>
  <c r="F811" i="1"/>
  <c r="F812" i="1"/>
  <c r="F813" i="1"/>
  <c r="F814" i="1"/>
  <c r="F815" i="1"/>
  <c r="F816" i="1"/>
  <c r="F817" i="1"/>
  <c r="F818" i="1"/>
  <c r="F819" i="1"/>
  <c r="F820" i="1"/>
  <c r="F821" i="1"/>
  <c r="F822" i="1"/>
  <c r="F823" i="1"/>
  <c r="F824" i="1"/>
  <c r="F825" i="1"/>
  <c r="F826" i="1"/>
  <c r="F827" i="1"/>
  <c r="F828" i="1"/>
  <c r="F829" i="1"/>
  <c r="F830" i="1"/>
  <c r="F831" i="1"/>
  <c r="F832" i="1"/>
  <c r="F833" i="1"/>
  <c r="F834" i="1"/>
  <c r="F835" i="1"/>
  <c r="F836" i="1"/>
  <c r="F837" i="1"/>
  <c r="F838" i="1"/>
  <c r="F839" i="1"/>
  <c r="F840" i="1"/>
  <c r="F841" i="1"/>
  <c r="F842" i="1"/>
  <c r="F843" i="1"/>
  <c r="F844" i="1"/>
  <c r="F845" i="1"/>
  <c r="F846" i="1"/>
  <c r="F847" i="1"/>
  <c r="F848" i="1"/>
  <c r="F849" i="1"/>
  <c r="F850" i="1"/>
  <c r="F851" i="1"/>
  <c r="F852" i="1"/>
  <c r="F853" i="1"/>
  <c r="F854" i="1"/>
  <c r="F855" i="1"/>
  <c r="F856" i="1"/>
  <c r="F857" i="1"/>
  <c r="F858" i="1"/>
  <c r="F859" i="1"/>
  <c r="F860" i="1"/>
  <c r="F861" i="1"/>
  <c r="F862" i="1"/>
  <c r="F863" i="1"/>
  <c r="F864" i="1"/>
  <c r="F865" i="1"/>
  <c r="F866" i="1"/>
  <c r="F867" i="1"/>
  <c r="F868" i="1"/>
  <c r="F869" i="1"/>
  <c r="F870" i="1"/>
  <c r="F871" i="1"/>
  <c r="F872" i="1"/>
  <c r="F873" i="1"/>
  <c r="F874" i="1"/>
  <c r="F875" i="1"/>
  <c r="F876" i="1"/>
  <c r="F877" i="1"/>
  <c r="F878" i="1"/>
  <c r="F879" i="1"/>
  <c r="F880" i="1"/>
  <c r="F881" i="1"/>
  <c r="F882" i="1"/>
  <c r="F883" i="1"/>
  <c r="F884" i="1"/>
  <c r="F885" i="1"/>
  <c r="F886" i="1"/>
  <c r="F887" i="1"/>
  <c r="F888" i="1"/>
  <c r="F889" i="1"/>
  <c r="F890" i="1"/>
  <c r="F891" i="1"/>
  <c r="F892" i="1"/>
  <c r="F893" i="1"/>
  <c r="F894" i="1"/>
  <c r="F895" i="1"/>
  <c r="F896" i="1"/>
  <c r="F897" i="1"/>
  <c r="F898" i="1"/>
  <c r="F899" i="1"/>
  <c r="F900" i="1"/>
  <c r="F901" i="1"/>
  <c r="F902" i="1"/>
  <c r="F903" i="1"/>
  <c r="F904" i="1"/>
  <c r="F905" i="1"/>
  <c r="F906" i="1"/>
  <c r="F907" i="1"/>
  <c r="F908" i="1"/>
  <c r="F909" i="1"/>
  <c r="F910" i="1"/>
  <c r="F911" i="1"/>
  <c r="F912" i="1"/>
  <c r="F913" i="1"/>
  <c r="F914" i="1"/>
  <c r="F915" i="1"/>
  <c r="F916" i="1"/>
  <c r="F917" i="1"/>
  <c r="F918" i="1"/>
  <c r="F919" i="1"/>
  <c r="F920" i="1"/>
  <c r="F921" i="1"/>
  <c r="F922" i="1"/>
  <c r="F923" i="1"/>
  <c r="F924" i="1"/>
  <c r="F925" i="1"/>
  <c r="F926" i="1"/>
  <c r="F927" i="1"/>
  <c r="F928" i="1"/>
  <c r="F929" i="1"/>
  <c r="F930" i="1"/>
  <c r="F931" i="1"/>
  <c r="F932" i="1"/>
  <c r="F933" i="1"/>
  <c r="F934" i="1"/>
  <c r="F935" i="1"/>
  <c r="F936" i="1"/>
  <c r="F937" i="1"/>
  <c r="F938" i="1"/>
  <c r="F939" i="1"/>
  <c r="F940" i="1"/>
  <c r="F941" i="1"/>
  <c r="F942" i="1"/>
  <c r="F943" i="1"/>
  <c r="F944" i="1"/>
  <c r="F945" i="1"/>
  <c r="F946" i="1"/>
  <c r="F947" i="1"/>
  <c r="F948" i="1"/>
  <c r="F949" i="1"/>
  <c r="F950" i="1"/>
  <c r="F951" i="1"/>
  <c r="F952" i="1"/>
  <c r="F953" i="1"/>
  <c r="F954" i="1"/>
  <c r="F955" i="1"/>
  <c r="F956" i="1"/>
  <c r="F957" i="1"/>
  <c r="F958" i="1"/>
  <c r="F959" i="1"/>
  <c r="F960" i="1"/>
  <c r="F961" i="1"/>
  <c r="F962" i="1"/>
  <c r="F963" i="1"/>
  <c r="F964" i="1"/>
  <c r="F965" i="1"/>
  <c r="F966" i="1"/>
  <c r="F967" i="1"/>
  <c r="F968" i="1"/>
  <c r="F969" i="1"/>
  <c r="F970" i="1"/>
  <c r="F971" i="1"/>
  <c r="F972" i="1"/>
  <c r="F973" i="1"/>
  <c r="F974" i="1"/>
  <c r="F975" i="1"/>
  <c r="F976" i="1"/>
  <c r="F977" i="1"/>
  <c r="F978" i="1"/>
  <c r="F979" i="1"/>
  <c r="F980" i="1"/>
  <c r="F981" i="1"/>
  <c r="F982" i="1"/>
  <c r="F983" i="1"/>
  <c r="F984" i="1"/>
  <c r="F985" i="1"/>
  <c r="F986" i="1"/>
  <c r="F987" i="1"/>
  <c r="F988" i="1"/>
  <c r="F989" i="1"/>
  <c r="F990" i="1"/>
  <c r="F991" i="1"/>
  <c r="F992" i="1"/>
  <c r="F993" i="1"/>
  <c r="F994" i="1"/>
  <c r="F995" i="1"/>
  <c r="F996" i="1"/>
  <c r="F997" i="1"/>
  <c r="F998" i="1"/>
  <c r="F999" i="1"/>
  <c r="F1000" i="1"/>
  <c r="F1001" i="1"/>
  <c r="F1002" i="1"/>
  <c r="F1003" i="1"/>
  <c r="F1004" i="1"/>
  <c r="F1005" i="1"/>
  <c r="F1006" i="1"/>
  <c r="F1007" i="1"/>
  <c r="F1008" i="1"/>
  <c r="F1009" i="1"/>
  <c r="F1010" i="1"/>
  <c r="F1011" i="1"/>
  <c r="F1012" i="1"/>
  <c r="F1013" i="1"/>
  <c r="F1014" i="1"/>
  <c r="F1015" i="1"/>
  <c r="F1016" i="1"/>
  <c r="F1017" i="1"/>
  <c r="F1018" i="1"/>
  <c r="F1019" i="1"/>
  <c r="F1020" i="1"/>
  <c r="F1021" i="1"/>
  <c r="F1022" i="1"/>
  <c r="F1023" i="1"/>
  <c r="F1024" i="1"/>
  <c r="F1025" i="1"/>
  <c r="F1026" i="1"/>
  <c r="F1027" i="1"/>
  <c r="F1028" i="1"/>
  <c r="F1029" i="1"/>
  <c r="F1030" i="1"/>
  <c r="F1031" i="1"/>
  <c r="F1032" i="1"/>
  <c r="F1033" i="1"/>
  <c r="F1034" i="1"/>
  <c r="F1035" i="1"/>
  <c r="F1036" i="1"/>
  <c r="F1037" i="1"/>
  <c r="F1038" i="1"/>
  <c r="F1039" i="1"/>
  <c r="F1040" i="1"/>
  <c r="F1041" i="1"/>
  <c r="F1042" i="1"/>
  <c r="F1043" i="1"/>
  <c r="F1044" i="1"/>
  <c r="F1045" i="1"/>
  <c r="F1046" i="1"/>
  <c r="F1047" i="1"/>
  <c r="F1048" i="1"/>
  <c r="F1049" i="1"/>
  <c r="F1050" i="1"/>
  <c r="F1051" i="1"/>
  <c r="F1052" i="1"/>
  <c r="F1053" i="1"/>
  <c r="F1054" i="1"/>
  <c r="F1055" i="1"/>
  <c r="F1056" i="1"/>
  <c r="F1057" i="1"/>
  <c r="F1058" i="1"/>
  <c r="F1059" i="1"/>
  <c r="F1060" i="1"/>
  <c r="F1061" i="1"/>
  <c r="F1062" i="1"/>
  <c r="F1063" i="1"/>
  <c r="F1064" i="1"/>
  <c r="F1065" i="1"/>
  <c r="F1066" i="1"/>
  <c r="F1067" i="1"/>
  <c r="F1068" i="1"/>
  <c r="F1069" i="1"/>
  <c r="F1070" i="1"/>
  <c r="F1071" i="1"/>
  <c r="F1072" i="1"/>
  <c r="F1073" i="1"/>
  <c r="F1074" i="1"/>
  <c r="F1075" i="1"/>
  <c r="F1076" i="1"/>
  <c r="F1077" i="1"/>
  <c r="F1078" i="1"/>
  <c r="F1079" i="1"/>
  <c r="F1080" i="1"/>
  <c r="F1081" i="1"/>
  <c r="F1082" i="1"/>
  <c r="F1083" i="1"/>
  <c r="F1084" i="1"/>
  <c r="F1085" i="1"/>
  <c r="F1086" i="1"/>
  <c r="F1087" i="1"/>
  <c r="F1088" i="1"/>
  <c r="F1089" i="1"/>
  <c r="F1090" i="1"/>
  <c r="F1091" i="1"/>
  <c r="F1092" i="1"/>
  <c r="F1093" i="1"/>
  <c r="F1094" i="1"/>
  <c r="F1095" i="1"/>
  <c r="F1096" i="1"/>
  <c r="F1097" i="1"/>
  <c r="F1098" i="1"/>
  <c r="F1099" i="1"/>
  <c r="F1100" i="1"/>
  <c r="F1101" i="1"/>
  <c r="F1102" i="1"/>
  <c r="F1103" i="1"/>
  <c r="F1104" i="1"/>
  <c r="F1105" i="1"/>
  <c r="F1106" i="1"/>
  <c r="F1107" i="1"/>
  <c r="F1108" i="1"/>
  <c r="F1109" i="1"/>
  <c r="F1110" i="1"/>
  <c r="F1111" i="1"/>
  <c r="F1112" i="1"/>
  <c r="F1113" i="1"/>
  <c r="F1114" i="1"/>
  <c r="F1115" i="1"/>
  <c r="F1116" i="1"/>
  <c r="F1117" i="1"/>
  <c r="F1118" i="1"/>
  <c r="F1119" i="1"/>
  <c r="F1120" i="1"/>
  <c r="F1121" i="1"/>
  <c r="F1122" i="1"/>
  <c r="F1123" i="1"/>
  <c r="F1124" i="1"/>
  <c r="F1125" i="1"/>
  <c r="F1126" i="1"/>
  <c r="F1127" i="1"/>
  <c r="F1128" i="1"/>
  <c r="F1129" i="1"/>
  <c r="F1130" i="1"/>
  <c r="F1131" i="1"/>
  <c r="F1132" i="1"/>
  <c r="F1133" i="1"/>
  <c r="F1134" i="1"/>
  <c r="F1135" i="1"/>
  <c r="F1136" i="1"/>
  <c r="F1137" i="1"/>
  <c r="F1138" i="1"/>
  <c r="F1139" i="1"/>
  <c r="F1140" i="1"/>
  <c r="F1141" i="1"/>
  <c r="F1142" i="1"/>
  <c r="F1143" i="1"/>
  <c r="F1144" i="1"/>
  <c r="F1145" i="1"/>
  <c r="F1146" i="1"/>
  <c r="F1147" i="1"/>
  <c r="F1148" i="1"/>
  <c r="F1149" i="1"/>
  <c r="F1150" i="1"/>
  <c r="F1151" i="1"/>
  <c r="F1152" i="1"/>
  <c r="F1153" i="1"/>
  <c r="F1154" i="1"/>
  <c r="F1155" i="1"/>
  <c r="F1156" i="1"/>
  <c r="F1157" i="1"/>
  <c r="F1158" i="1"/>
  <c r="F1159" i="1"/>
  <c r="F1160" i="1"/>
  <c r="F1161" i="1"/>
  <c r="F1162" i="1"/>
  <c r="F1163" i="1"/>
  <c r="F1164" i="1"/>
  <c r="F1165" i="1"/>
  <c r="F1166" i="1"/>
  <c r="F1167" i="1"/>
  <c r="F1168" i="1"/>
  <c r="F1169" i="1"/>
  <c r="F1170" i="1"/>
  <c r="F1171" i="1"/>
  <c r="F1172" i="1"/>
  <c r="F1173" i="1"/>
  <c r="F1174" i="1"/>
  <c r="F1175" i="1"/>
  <c r="F1176" i="1"/>
  <c r="F1177" i="1"/>
  <c r="F1178" i="1"/>
  <c r="F1179" i="1"/>
  <c r="F1180" i="1"/>
  <c r="F1181" i="1"/>
  <c r="F1182" i="1"/>
  <c r="F1183" i="1"/>
  <c r="F1184" i="1"/>
  <c r="F1185" i="1"/>
  <c r="F1186" i="1"/>
  <c r="F1187" i="1"/>
  <c r="F1188" i="1"/>
  <c r="F1189" i="1"/>
  <c r="F1190" i="1"/>
  <c r="F1191" i="1"/>
  <c r="F1192" i="1"/>
  <c r="F1193" i="1"/>
  <c r="F1194" i="1"/>
  <c r="F1195" i="1"/>
  <c r="F1196" i="1"/>
  <c r="F1197" i="1"/>
  <c r="F1198" i="1"/>
  <c r="F1199" i="1"/>
  <c r="F1200" i="1"/>
  <c r="F1201" i="1"/>
  <c r="F1202" i="1"/>
  <c r="F1203" i="1"/>
  <c r="F1204" i="1"/>
  <c r="F1205" i="1"/>
  <c r="F1206" i="1"/>
  <c r="F1207" i="1"/>
  <c r="F1208" i="1"/>
  <c r="F1209" i="1"/>
  <c r="F1210" i="1"/>
  <c r="F1211" i="1"/>
  <c r="F1212" i="1"/>
  <c r="F1213" i="1"/>
  <c r="F1214" i="1"/>
  <c r="F1215" i="1"/>
  <c r="F1216" i="1"/>
  <c r="F1217" i="1"/>
  <c r="F1218" i="1"/>
  <c r="F1219" i="1"/>
  <c r="F1220" i="1"/>
  <c r="F1221" i="1"/>
  <c r="F1222" i="1"/>
  <c r="F1223" i="1"/>
  <c r="F1224" i="1"/>
  <c r="F1225" i="1"/>
  <c r="F1226" i="1"/>
  <c r="F1227" i="1"/>
  <c r="F1228" i="1"/>
  <c r="F1229" i="1"/>
  <c r="F1230" i="1"/>
  <c r="F1231" i="1"/>
  <c r="F1232" i="1"/>
  <c r="F1233" i="1"/>
  <c r="F1234" i="1"/>
  <c r="F1235" i="1"/>
  <c r="F1236" i="1"/>
  <c r="F1237" i="1"/>
  <c r="F1238" i="1"/>
  <c r="F1239" i="1"/>
  <c r="F1240" i="1"/>
  <c r="F1241" i="1"/>
  <c r="F1242" i="1"/>
  <c r="F1243" i="1"/>
  <c r="F1244" i="1"/>
  <c r="F1245" i="1"/>
  <c r="F1246" i="1"/>
  <c r="F1247" i="1"/>
  <c r="F1248" i="1"/>
  <c r="F1249" i="1"/>
  <c r="F1250" i="1"/>
  <c r="F1251" i="1"/>
  <c r="F1252" i="1"/>
  <c r="F1253" i="1"/>
  <c r="F1254" i="1"/>
  <c r="F1255" i="1"/>
  <c r="F1256" i="1"/>
  <c r="F1257" i="1"/>
  <c r="F1258" i="1"/>
  <c r="F1259" i="1"/>
  <c r="F1260" i="1"/>
  <c r="F1261" i="1"/>
  <c r="F1262" i="1"/>
  <c r="F1263" i="1"/>
  <c r="F1264" i="1"/>
  <c r="F1265" i="1"/>
  <c r="F1266" i="1"/>
  <c r="F1267" i="1"/>
  <c r="F1268" i="1"/>
  <c r="F1269" i="1"/>
  <c r="F1270" i="1"/>
  <c r="F1271" i="1"/>
  <c r="F1272" i="1"/>
  <c r="F1273" i="1"/>
  <c r="F1274" i="1"/>
  <c r="F1275" i="1"/>
  <c r="F1276" i="1"/>
  <c r="F1277" i="1"/>
  <c r="F1278" i="1"/>
  <c r="F1279" i="1"/>
  <c r="F1280" i="1"/>
  <c r="F1281" i="1"/>
  <c r="F1282" i="1"/>
  <c r="F1283" i="1"/>
  <c r="F1284" i="1"/>
  <c r="F1285" i="1"/>
  <c r="F1286" i="1"/>
  <c r="F1287" i="1"/>
  <c r="F1288" i="1"/>
  <c r="F1289" i="1"/>
  <c r="F1290" i="1"/>
  <c r="F1291" i="1"/>
  <c r="F1292" i="1"/>
  <c r="F1293" i="1"/>
  <c r="F1294" i="1"/>
  <c r="F1295" i="1"/>
  <c r="F1296" i="1"/>
  <c r="F1297" i="1"/>
  <c r="F1298" i="1"/>
  <c r="F1299" i="1"/>
  <c r="F1300" i="1"/>
  <c r="F1301" i="1"/>
  <c r="F1302" i="1"/>
  <c r="F1303" i="1"/>
  <c r="F1304" i="1"/>
  <c r="F1305" i="1"/>
  <c r="F1306" i="1"/>
  <c r="F1307" i="1"/>
  <c r="F1308" i="1"/>
  <c r="F1309" i="1"/>
  <c r="F1310" i="1"/>
  <c r="F1311" i="1"/>
  <c r="F1312" i="1"/>
  <c r="F1313" i="1"/>
  <c r="F1314" i="1"/>
  <c r="F1315" i="1"/>
  <c r="F1316" i="1"/>
  <c r="F1317" i="1"/>
  <c r="F1318" i="1"/>
  <c r="F1319" i="1"/>
  <c r="F1320" i="1"/>
  <c r="F1321" i="1"/>
  <c r="F1322" i="1"/>
  <c r="F1323" i="1"/>
  <c r="F1324" i="1"/>
  <c r="F1325" i="1"/>
  <c r="F1326" i="1"/>
  <c r="F1327" i="1"/>
  <c r="F1328" i="1"/>
  <c r="F1329" i="1"/>
  <c r="F1330" i="1"/>
  <c r="F1331" i="1"/>
  <c r="F1332" i="1"/>
  <c r="F1333" i="1"/>
  <c r="F1334" i="1"/>
  <c r="F1335" i="1"/>
  <c r="F1336" i="1"/>
  <c r="F1337" i="1"/>
  <c r="F1338" i="1"/>
  <c r="F1339" i="1"/>
  <c r="F1340" i="1"/>
  <c r="F1341" i="1"/>
  <c r="F1342" i="1"/>
  <c r="F1343" i="1"/>
  <c r="F1344" i="1"/>
  <c r="F1345" i="1"/>
  <c r="F1346" i="1"/>
  <c r="F1347" i="1"/>
  <c r="F1348" i="1"/>
  <c r="F1349" i="1"/>
  <c r="F1350" i="1"/>
  <c r="F1351" i="1"/>
  <c r="F1352" i="1"/>
  <c r="F1353" i="1"/>
  <c r="F1354" i="1"/>
  <c r="F1355" i="1"/>
  <c r="F1356" i="1"/>
  <c r="F1357" i="1"/>
  <c r="F1358" i="1"/>
  <c r="F1359" i="1"/>
  <c r="F1360" i="1"/>
  <c r="F1361" i="1"/>
  <c r="F1362" i="1"/>
  <c r="F1363" i="1"/>
  <c r="F1364" i="1"/>
  <c r="F1365" i="1"/>
  <c r="F1366" i="1"/>
  <c r="F1367" i="1"/>
  <c r="F1368" i="1"/>
  <c r="F1369" i="1"/>
  <c r="F1370" i="1"/>
  <c r="F1371" i="1"/>
  <c r="F1372" i="1"/>
  <c r="F1373" i="1"/>
  <c r="F1374" i="1"/>
  <c r="F1375" i="1"/>
  <c r="F1376" i="1"/>
  <c r="F1377" i="1"/>
  <c r="F1378" i="1"/>
  <c r="F1379" i="1"/>
  <c r="F1380" i="1"/>
  <c r="F1381" i="1"/>
  <c r="F1382" i="1"/>
  <c r="F1383" i="1"/>
  <c r="F1384" i="1"/>
  <c r="F1385" i="1"/>
  <c r="F1386" i="1"/>
  <c r="F1387" i="1"/>
  <c r="F1388" i="1"/>
  <c r="F1389" i="1"/>
  <c r="F1390" i="1"/>
  <c r="F1391" i="1"/>
  <c r="F1392" i="1"/>
  <c r="F1393" i="1"/>
  <c r="F1394" i="1"/>
  <c r="F1395" i="1"/>
  <c r="F1396" i="1"/>
  <c r="F1397" i="1"/>
  <c r="F1398" i="1"/>
  <c r="F1399" i="1"/>
  <c r="F1400" i="1"/>
  <c r="F1401" i="1"/>
  <c r="F1402" i="1"/>
  <c r="F1403" i="1"/>
  <c r="F1404" i="1"/>
  <c r="F1405" i="1"/>
  <c r="F1406" i="1"/>
  <c r="F1407" i="1"/>
  <c r="F1408" i="1"/>
  <c r="F1409" i="1"/>
  <c r="F1410" i="1"/>
  <c r="F1411" i="1"/>
  <c r="F1412" i="1"/>
  <c r="F1413" i="1"/>
  <c r="F1414" i="1"/>
  <c r="F1415" i="1"/>
  <c r="F1416" i="1"/>
  <c r="F1417" i="1"/>
  <c r="F1418" i="1"/>
  <c r="F1419" i="1"/>
  <c r="F1420" i="1"/>
  <c r="F1421" i="1"/>
  <c r="F1422" i="1"/>
  <c r="F1423" i="1"/>
  <c r="F1424" i="1"/>
  <c r="F1425" i="1"/>
  <c r="F1426" i="1"/>
  <c r="F1427" i="1"/>
  <c r="F1428" i="1"/>
  <c r="F1429" i="1"/>
  <c r="F1430" i="1"/>
  <c r="F1431" i="1"/>
  <c r="F1432" i="1"/>
  <c r="F1433" i="1"/>
  <c r="F1434" i="1"/>
  <c r="F1435" i="1"/>
  <c r="F1436" i="1"/>
  <c r="F1437" i="1"/>
  <c r="F1438" i="1"/>
  <c r="F1439" i="1"/>
  <c r="F1440" i="1"/>
  <c r="F1441" i="1"/>
  <c r="F1442" i="1"/>
  <c r="F1443" i="1"/>
  <c r="F1444" i="1"/>
  <c r="F1445" i="1"/>
  <c r="F1446" i="1"/>
  <c r="F1447" i="1"/>
  <c r="F1448" i="1"/>
  <c r="F1449" i="1"/>
  <c r="F1450" i="1"/>
  <c r="F1451" i="1"/>
  <c r="F1452" i="1"/>
  <c r="F1453" i="1"/>
  <c r="F1454" i="1"/>
  <c r="F1455" i="1"/>
  <c r="F1456" i="1"/>
  <c r="F1457" i="1"/>
  <c r="F1458" i="1"/>
  <c r="F1459" i="1"/>
  <c r="F1460" i="1"/>
  <c r="F1461" i="1"/>
  <c r="F1462" i="1"/>
  <c r="F1463" i="1"/>
  <c r="F1464" i="1"/>
  <c r="F1465" i="1"/>
  <c r="F1466" i="1"/>
  <c r="F1467" i="1"/>
  <c r="F1468" i="1"/>
  <c r="F1469" i="1"/>
  <c r="F1470" i="1"/>
  <c r="F1471" i="1"/>
  <c r="F1472" i="1"/>
  <c r="F1473" i="1"/>
  <c r="F1474" i="1"/>
  <c r="F1475" i="1"/>
  <c r="F1476" i="1"/>
  <c r="F1477" i="1"/>
  <c r="F1478" i="1"/>
  <c r="F1479" i="1"/>
  <c r="F1480" i="1"/>
  <c r="F1481" i="1"/>
  <c r="F1482" i="1"/>
  <c r="F1483" i="1"/>
  <c r="F1484" i="1"/>
  <c r="F1485" i="1"/>
  <c r="F1486" i="1"/>
  <c r="F1487" i="1"/>
  <c r="F1488" i="1"/>
  <c r="F1489" i="1"/>
  <c r="F1490" i="1"/>
  <c r="F1491" i="1"/>
  <c r="F1492" i="1"/>
  <c r="F1493" i="1"/>
  <c r="F1494" i="1"/>
  <c r="F1495" i="1"/>
  <c r="F1496" i="1"/>
  <c r="F1497" i="1"/>
  <c r="F1498" i="1"/>
  <c r="F1499" i="1"/>
  <c r="F1500" i="1"/>
  <c r="F1501" i="1"/>
  <c r="B5" i="2" l="1"/>
  <c r="G9" i="5" s="1"/>
</calcChain>
</file>

<file path=xl/sharedStrings.xml><?xml version="1.0" encoding="utf-8"?>
<sst xmlns="http://schemas.openxmlformats.org/spreadsheetml/2006/main" count="4558" uniqueCount="1554">
  <si>
    <t>Date</t>
  </si>
  <si>
    <t>Transaction Description</t>
  </si>
  <si>
    <t>Category</t>
  </si>
  <si>
    <t>Amount</t>
  </si>
  <si>
    <t>Type</t>
  </si>
  <si>
    <t>Score each.</t>
  </si>
  <si>
    <t>Food &amp; Drink</t>
  </si>
  <si>
    <t>Expense</t>
  </si>
  <si>
    <t>Quality throughout.</t>
  </si>
  <si>
    <t>Utilities</t>
  </si>
  <si>
    <t>Instead ahead despite measure ago.</t>
  </si>
  <si>
    <t>Rent</t>
  </si>
  <si>
    <t>Information last everything thank serve.</t>
  </si>
  <si>
    <t>Investment</t>
  </si>
  <si>
    <t>Income</t>
  </si>
  <si>
    <t>Future choice whatever from.</t>
  </si>
  <si>
    <t>Benefit suggest page southern.</t>
  </si>
  <si>
    <t>Shopping</t>
  </si>
  <si>
    <t>By two bad fall pick.</t>
  </si>
  <si>
    <t>Court attorney product significant world.</t>
  </si>
  <si>
    <t>Other</t>
  </si>
  <si>
    <t>Herself law.</t>
  </si>
  <si>
    <t>Entertainment</t>
  </si>
  <si>
    <t>Have decide environment.</t>
  </si>
  <si>
    <t>Play move each left establish.</t>
  </si>
  <si>
    <t>Health &amp; Fitness</t>
  </si>
  <si>
    <t>Range successful simply.</t>
  </si>
  <si>
    <t>Salary</t>
  </si>
  <si>
    <t>Source husband.</t>
  </si>
  <si>
    <t>Tree note responsibility.</t>
  </si>
  <si>
    <t>How trip learn enter.</t>
  </si>
  <si>
    <t>Much section investment on gun.</t>
  </si>
  <si>
    <t>Management sense technology check civil.</t>
  </si>
  <si>
    <t>As high you more wife.</t>
  </si>
  <si>
    <t>Race mr.</t>
  </si>
  <si>
    <t>Travel</t>
  </si>
  <si>
    <t>Born itself law west.</t>
  </si>
  <si>
    <t>Seven medical blood personal.</t>
  </si>
  <si>
    <t>Current hear claim well two.</t>
  </si>
  <si>
    <t>Food affect upon these story.</t>
  </si>
  <si>
    <t>Around there water.</t>
  </si>
  <si>
    <t>Staff within mouth call.</t>
  </si>
  <si>
    <t>Close month parent who up.</t>
  </si>
  <si>
    <t>Human public health.</t>
  </si>
  <si>
    <t>Building different full open.</t>
  </si>
  <si>
    <t>Detail audience piece director town.</t>
  </si>
  <si>
    <t>Method everything.</t>
  </si>
  <si>
    <t>Much rich think.</t>
  </si>
  <si>
    <t>Drug list imagine behind.</t>
  </si>
  <si>
    <t>Interest level rock pull.</t>
  </si>
  <si>
    <t>I fund.</t>
  </si>
  <si>
    <t>Court movie cell.</t>
  </si>
  <si>
    <t>Leg themselves away.</t>
  </si>
  <si>
    <t>Anything yourself.</t>
  </si>
  <si>
    <t>Unit support.</t>
  </si>
  <si>
    <t>Magazine degree husband around.</t>
  </si>
  <si>
    <t>World enter.</t>
  </si>
  <si>
    <t>Institution whatever yet.</t>
  </si>
  <si>
    <t>Choice father why often.</t>
  </si>
  <si>
    <t>Security arm.</t>
  </si>
  <si>
    <t>Me system church whether.</t>
  </si>
  <si>
    <t>Attention attack technology.</t>
  </si>
  <si>
    <t>Walk now often.</t>
  </si>
  <si>
    <t>Bank price north first end.</t>
  </si>
  <si>
    <t>Enter capital population.</t>
  </si>
  <si>
    <t>Upon very act perform.</t>
  </si>
  <si>
    <t>Available defense.</t>
  </si>
  <si>
    <t>Value thing these.</t>
  </si>
  <si>
    <t>Citizen street region.</t>
  </si>
  <si>
    <t>Property never.</t>
  </si>
  <si>
    <t>Enough threat score.</t>
  </si>
  <si>
    <t>Example decision garden.</t>
  </si>
  <si>
    <t>Major town suffer begin.</t>
  </si>
  <si>
    <t>Analysis four capital.</t>
  </si>
  <si>
    <t>Scientist necessary into.</t>
  </si>
  <si>
    <t>Away third.</t>
  </si>
  <si>
    <t>Along hard need involve among.</t>
  </si>
  <si>
    <t>Together decide.</t>
  </si>
  <si>
    <t>Government nice.</t>
  </si>
  <si>
    <t>See understand door class son.</t>
  </si>
  <si>
    <t>Agent say forward us.</t>
  </si>
  <si>
    <t>City red him.</t>
  </si>
  <si>
    <t>Develop staff least figure.</t>
  </si>
  <si>
    <t>Age cover foreign.</t>
  </si>
  <si>
    <t>Go meeting quickly.</t>
  </si>
  <si>
    <t>Voice boy wife condition.</t>
  </si>
  <si>
    <t>Board its.</t>
  </si>
  <si>
    <t>Paper memory history office.</t>
  </si>
  <si>
    <t>Remember ability.</t>
  </si>
  <si>
    <t>Hair attorney professional.</t>
  </si>
  <si>
    <t>Finish summer rest feel finally.</t>
  </si>
  <si>
    <t>I fast camera inside.</t>
  </si>
  <si>
    <t>Past feeling nature.</t>
  </si>
  <si>
    <t>Expert involve oil.</t>
  </si>
  <si>
    <t>Kid put memory soldier.</t>
  </si>
  <si>
    <t>Exist professional.</t>
  </si>
  <si>
    <t>Stand seem.</t>
  </si>
  <si>
    <t>Southern challenge animal.</t>
  </si>
  <si>
    <t>Sure authority increase picture create.</t>
  </si>
  <si>
    <t>Hundred challenge reach throughout.</t>
  </si>
  <si>
    <t>Despite sound receive let.</t>
  </si>
  <si>
    <t>True building card.</t>
  </si>
  <si>
    <t>Write other wear through partner.</t>
  </si>
  <si>
    <t>Store natural today season.</t>
  </si>
  <si>
    <t>Else easy point she.</t>
  </si>
  <si>
    <t>Phone ever back experience.</t>
  </si>
  <si>
    <t>Floor music catch discuss.</t>
  </si>
  <si>
    <t>Ask imagine my.</t>
  </si>
  <si>
    <t>Deal information.</t>
  </si>
  <si>
    <t>Task she.</t>
  </si>
  <si>
    <t>Accept goal send table.</t>
  </si>
  <si>
    <t>Section national owner determine detail.</t>
  </si>
  <si>
    <t>Ahead from quickly identify.</t>
  </si>
  <si>
    <t>Try wonder move trade.</t>
  </si>
  <si>
    <t>Base investment.</t>
  </si>
  <si>
    <t>Anyone here deep.</t>
  </si>
  <si>
    <t>Seven here sell story.</t>
  </si>
  <si>
    <t>Like see.</t>
  </si>
  <si>
    <t>Difference attention whatever american.</t>
  </si>
  <si>
    <t>Current after charge.</t>
  </si>
  <si>
    <t>Prove nor design record.</t>
  </si>
  <si>
    <t>Paper white responsibility.</t>
  </si>
  <si>
    <t>Blue agent find.</t>
  </si>
  <si>
    <t>Walk cup option store.</t>
  </si>
  <si>
    <t>Recent feeling.</t>
  </si>
  <si>
    <t>Site girl into have media.</t>
  </si>
  <si>
    <t>Support state.</t>
  </si>
  <si>
    <t>Whether player stock religious.</t>
  </si>
  <si>
    <t>Safe whole establish.</t>
  </si>
  <si>
    <t>Let stay or focus.</t>
  </si>
  <si>
    <t>Everything late.</t>
  </si>
  <si>
    <t>Particular her agreement surface consider.</t>
  </si>
  <si>
    <t>Something future they red.</t>
  </si>
  <si>
    <t>Act way beat result major.</t>
  </si>
  <si>
    <t>Position make society behavior.</t>
  </si>
  <si>
    <t>Reality fill ok list.</t>
  </si>
  <si>
    <t>International second former reflect.</t>
  </si>
  <si>
    <t>Edge building court.</t>
  </si>
  <si>
    <t>Week real course school everybody.</t>
  </si>
  <si>
    <t>Executive beyond create dinner conference.</t>
  </si>
  <si>
    <t>Call animal approach factor want.</t>
  </si>
  <si>
    <t>Their off.</t>
  </si>
  <si>
    <t>Key continue anything wait.</t>
  </si>
  <si>
    <t>State husband.</t>
  </si>
  <si>
    <t>Picture approach chance none fight.</t>
  </si>
  <si>
    <t>Newspaper indicate other.</t>
  </si>
  <si>
    <t>Herself training father open investment.</t>
  </si>
  <si>
    <t>Art whether between several personal.</t>
  </si>
  <si>
    <t>Church community.</t>
  </si>
  <si>
    <t>Able late order.</t>
  </si>
  <si>
    <t>Discuss religious.</t>
  </si>
  <si>
    <t>Reach under.</t>
  </si>
  <si>
    <t>Boy different chance enter.</t>
  </si>
  <si>
    <t>Arrive society.</t>
  </si>
  <si>
    <t>Keep light fight.</t>
  </si>
  <si>
    <t>Matter management ball.</t>
  </si>
  <si>
    <t>Same page ago director.</t>
  </si>
  <si>
    <t>Week yourself public especially american.</t>
  </si>
  <si>
    <t>Million kind everything young.</t>
  </si>
  <si>
    <t>Why like impact fly.</t>
  </si>
  <si>
    <t>Form really explain.</t>
  </si>
  <si>
    <t>Already because education break significant.</t>
  </si>
  <si>
    <t>Price my.</t>
  </si>
  <si>
    <t>Could gun.</t>
  </si>
  <si>
    <t>Kind appear environment capital explain.</t>
  </si>
  <si>
    <t>Ahead picture son.</t>
  </si>
  <si>
    <t>Nearly need behavior.</t>
  </si>
  <si>
    <t>Water positive child usually.</t>
  </si>
  <si>
    <t>Relate indeed lot line lead.</t>
  </si>
  <si>
    <t>Course out second carry.</t>
  </si>
  <si>
    <t>Significant take future.</t>
  </si>
  <si>
    <t>Star executive fear.</t>
  </si>
  <si>
    <t>Your majority chance mrs generation.</t>
  </si>
  <si>
    <t>Help usually thank wonder draw.</t>
  </si>
  <si>
    <t>Task improve fish.</t>
  </si>
  <si>
    <t>History professional star wonder.</t>
  </si>
  <si>
    <t>Call whole.</t>
  </si>
  <si>
    <t>Them key.</t>
  </si>
  <si>
    <t>Address century that wide.</t>
  </si>
  <si>
    <t>Sit enter perhaps however.</t>
  </si>
  <si>
    <t>System teacher here first.</t>
  </si>
  <si>
    <t>Along attention piece tv young.</t>
  </si>
  <si>
    <t>Within set region beyond.</t>
  </si>
  <si>
    <t>Tough animal someone.</t>
  </si>
  <si>
    <t>Hear certainly most not.</t>
  </si>
  <si>
    <t>Company participant him.</t>
  </si>
  <si>
    <t>Tree central leave effect.</t>
  </si>
  <si>
    <t>Together let.</t>
  </si>
  <si>
    <t>Citizen kid generation onto police.</t>
  </si>
  <si>
    <t>Lead few yourself.</t>
  </si>
  <si>
    <t>Down occur.</t>
  </si>
  <si>
    <t>Yeah far within.</t>
  </si>
  <si>
    <t>Account ten sing.</t>
  </si>
  <si>
    <t>Seat strategy total simply discover.</t>
  </si>
  <si>
    <t>Pm per question.</t>
  </si>
  <si>
    <t>Best physical always small almost.</t>
  </si>
  <si>
    <t>Bed far section.</t>
  </si>
  <si>
    <t>Car much will.</t>
  </si>
  <si>
    <t>Tree store either station.</t>
  </si>
  <si>
    <t>Second full boy.</t>
  </si>
  <si>
    <t>Senior difficult put.</t>
  </si>
  <si>
    <t>Hand so add mr lawyer.</t>
  </si>
  <si>
    <t>Herself police he push likely.</t>
  </si>
  <si>
    <t>Trip determine as statement.</t>
  </si>
  <si>
    <t>Bring animal also you.</t>
  </si>
  <si>
    <t>Doctor mr.</t>
  </si>
  <si>
    <t>He we recent music.</t>
  </si>
  <si>
    <t>Those pressure street.</t>
  </si>
  <si>
    <t>Allow have kitchen.</t>
  </si>
  <si>
    <t>Between rate name within.</t>
  </si>
  <si>
    <t>Huge couple.</t>
  </si>
  <si>
    <t>Begin deep police wife.</t>
  </si>
  <si>
    <t>During call north attention.</t>
  </si>
  <si>
    <t>Only spend do.</t>
  </si>
  <si>
    <t>Able teach certain candidate economy.</t>
  </si>
  <si>
    <t>Produce ago.</t>
  </si>
  <si>
    <t>So draw food company.</t>
  </si>
  <si>
    <t>Score moment second.</t>
  </si>
  <si>
    <t>Sing message board mean.</t>
  </si>
  <si>
    <t>Feeling poor all your suggest.</t>
  </si>
  <si>
    <t>Make travel.</t>
  </si>
  <si>
    <t>Focus chance.</t>
  </si>
  <si>
    <t>Person one republican.</t>
  </si>
  <si>
    <t>Most law painting between reduce.</t>
  </si>
  <si>
    <t>Involve thousand including.</t>
  </si>
  <si>
    <t>Indeed believe interview professor.</t>
  </si>
  <si>
    <t>Rather listen before.</t>
  </si>
  <si>
    <t>It season.</t>
  </si>
  <si>
    <t>News only no.</t>
  </si>
  <si>
    <t>Improve them wait.</t>
  </si>
  <si>
    <t>Why outside.</t>
  </si>
  <si>
    <t>Official defense.</t>
  </si>
  <si>
    <t>Suggest glass news.</t>
  </si>
  <si>
    <t>Off southern suddenly.</t>
  </si>
  <si>
    <t>Participant price.</t>
  </si>
  <si>
    <t>Congress reflect.</t>
  </si>
  <si>
    <t>Go consider century price.</t>
  </si>
  <si>
    <t>Scientist will begin.</t>
  </si>
  <si>
    <t>Heavy law church.</t>
  </si>
  <si>
    <t>Since nothing be apply.</t>
  </si>
  <si>
    <t>Anyone bank kitchen interest parent.</t>
  </si>
  <si>
    <t>Democratic mention generation.</t>
  </si>
  <si>
    <t>Question or money.</t>
  </si>
  <si>
    <t>Determine worker.</t>
  </si>
  <si>
    <t>Daughter war.</t>
  </si>
  <si>
    <t>Face build market.</t>
  </si>
  <si>
    <t>Can mouth discover.</t>
  </si>
  <si>
    <t>Author technology amount affect.</t>
  </si>
  <si>
    <t>Office of remember individual.</t>
  </si>
  <si>
    <t>Again foot soon peace.</t>
  </si>
  <si>
    <t>Join black.</t>
  </si>
  <si>
    <t>Hundred bad that second develop.</t>
  </si>
  <si>
    <t>Member box.</t>
  </si>
  <si>
    <t>Town glass road.</t>
  </si>
  <si>
    <t>Bill eight community.</t>
  </si>
  <si>
    <t>Concern significant.</t>
  </si>
  <si>
    <t>Senior service large under.</t>
  </si>
  <si>
    <t>Follow wife firm key light.</t>
  </si>
  <si>
    <t>Option goal avoid.</t>
  </si>
  <si>
    <t>Also hard expert popular.</t>
  </si>
  <si>
    <t>Order his oil west school.</t>
  </si>
  <si>
    <t>Training occur could painting.</t>
  </si>
  <si>
    <t>Whatever late specific.</t>
  </si>
  <si>
    <t>Mean common.</t>
  </si>
  <si>
    <t>Yard model particular hair.</t>
  </si>
  <si>
    <t>Impact full our smile.</t>
  </si>
  <si>
    <t>Form newspaper.</t>
  </si>
  <si>
    <t>Edge surface who.</t>
  </si>
  <si>
    <t>Bank professional true financial.</t>
  </si>
  <si>
    <t>Organization visit finally.</t>
  </si>
  <si>
    <t>Spend prove stock school.</t>
  </si>
  <si>
    <t>Position interest.</t>
  </si>
  <si>
    <t>Guy congress.</t>
  </si>
  <si>
    <t>Way main difficult case.</t>
  </si>
  <si>
    <t>Such big side.</t>
  </si>
  <si>
    <t>Product then.</t>
  </si>
  <si>
    <t>Heavy class story side speak.</t>
  </si>
  <si>
    <t>Analysis hair rest wide.</t>
  </si>
  <si>
    <t>Doctor dream whole six.</t>
  </si>
  <si>
    <t>Question now key show.</t>
  </si>
  <si>
    <t>Month whom stage soon.</t>
  </si>
  <si>
    <t>Appear lose he.</t>
  </si>
  <si>
    <t>Surface expect several evening town.</t>
  </si>
  <si>
    <t>Begin treat stage this.</t>
  </si>
  <si>
    <t>Apply maybe dog yes.</t>
  </si>
  <si>
    <t>Agreement us stuff.</t>
  </si>
  <si>
    <t>Case expert stop.</t>
  </si>
  <si>
    <t>Large accept bad eight.</t>
  </si>
  <si>
    <t>Vote participant institution simply down.</t>
  </si>
  <si>
    <t>Draw police.</t>
  </si>
  <si>
    <t>Book toward.</t>
  </si>
  <si>
    <t>Place offer.</t>
  </si>
  <si>
    <t>Investment pass drive.</t>
  </si>
  <si>
    <t>Professor beat window.</t>
  </si>
  <si>
    <t>Name skill medical after them.</t>
  </si>
  <si>
    <t>Wonder effect administration small.</t>
  </si>
  <si>
    <t>Run pick sign.</t>
  </si>
  <si>
    <t>And national spend.</t>
  </si>
  <si>
    <t>Wonder long consider care.</t>
  </si>
  <si>
    <t>Fall analysis.</t>
  </si>
  <si>
    <t>Firm financial.</t>
  </si>
  <si>
    <t>List already positive experience television.</t>
  </si>
  <si>
    <t>Event son join hundred.</t>
  </si>
  <si>
    <t>Fund cost reality happen.</t>
  </si>
  <si>
    <t>Song risk bad.</t>
  </si>
  <si>
    <t>Family bill foreign fast knowledge.</t>
  </si>
  <si>
    <t>Ready goal amount.</t>
  </si>
  <si>
    <t>Your ever woman way avoid.</t>
  </si>
  <si>
    <t>Message seek civil all.</t>
  </si>
  <si>
    <t>Call door.</t>
  </si>
  <si>
    <t>Him note painting quickly.</t>
  </si>
  <si>
    <t>Know baby case happen.</t>
  </si>
  <si>
    <t>Economic box save.</t>
  </si>
  <si>
    <t>Hit no energy employee land.</t>
  </si>
  <si>
    <t>Customer career available common.</t>
  </si>
  <si>
    <t>Specific whose.</t>
  </si>
  <si>
    <t>Remember nearly face feel.</t>
  </si>
  <si>
    <t>Soldier meeting building.</t>
  </si>
  <si>
    <t>Door management guess.</t>
  </si>
  <si>
    <t>Level work candidate this.</t>
  </si>
  <si>
    <t>Huge response long.</t>
  </si>
  <si>
    <t>Statement available win politics.</t>
  </si>
  <si>
    <t>Quite general there sister.</t>
  </si>
  <si>
    <t>Item treat area.</t>
  </si>
  <si>
    <t>Check clearly follow remember generation.</t>
  </si>
  <si>
    <t>Suffer economy play.</t>
  </si>
  <si>
    <t>By field move.</t>
  </si>
  <si>
    <t>Option oil commercial.</t>
  </si>
  <si>
    <t>American tell ball we side.</t>
  </si>
  <si>
    <t>Short indicate police.</t>
  </si>
  <si>
    <t>Nation politics few each southern.</t>
  </si>
  <si>
    <t>Law read citizen.</t>
  </si>
  <si>
    <t>Less future century technology.</t>
  </si>
  <si>
    <t>Wish candidate have no.</t>
  </si>
  <si>
    <t>Letter environment easy.</t>
  </si>
  <si>
    <t>Face his.</t>
  </si>
  <si>
    <t>While total spend.</t>
  </si>
  <si>
    <t>Couple city you level.</t>
  </si>
  <si>
    <t>Age war measure whom.</t>
  </si>
  <si>
    <t>Good anything manager think pressure.</t>
  </si>
  <si>
    <t>Mr suggest issue.</t>
  </si>
  <si>
    <t>Shake hand hundred now.</t>
  </si>
  <si>
    <t>Network available mean share.</t>
  </si>
  <si>
    <t>Quite budget window hour some.</t>
  </si>
  <si>
    <t>Voice sense current meeting matter.</t>
  </si>
  <si>
    <t>Case four.</t>
  </si>
  <si>
    <t>Lead paper middle foreign party.</t>
  </si>
  <si>
    <t>Wrong school federal from.</t>
  </si>
  <si>
    <t>Majority none little admit former.</t>
  </si>
  <si>
    <t>On someone rise read.</t>
  </si>
  <si>
    <t>Listen whose situation simply officer.</t>
  </si>
  <si>
    <t>Lose modern return simple herself.</t>
  </si>
  <si>
    <t>Occur red.</t>
  </si>
  <si>
    <t>Kid industry.</t>
  </si>
  <si>
    <t>Improve simple turn.</t>
  </si>
  <si>
    <t>Million night your.</t>
  </si>
  <si>
    <t>Heavy what least mouth national.</t>
  </si>
  <si>
    <t>Machine whatever everything fear walk.</t>
  </si>
  <si>
    <t>Relate real major.</t>
  </si>
  <si>
    <t>Night various return explain.</t>
  </si>
  <si>
    <t>Here woman stand west source.</t>
  </si>
  <si>
    <t>Explain research.</t>
  </si>
  <si>
    <t>Pretty section degree still.</t>
  </si>
  <si>
    <t>Receive case past only drug.</t>
  </si>
  <si>
    <t>Point appear including.</t>
  </si>
  <si>
    <t>Race case.</t>
  </si>
  <si>
    <t>Imagine various there.</t>
  </si>
  <si>
    <t>Sense expert experience.</t>
  </si>
  <si>
    <t>Present discussion.</t>
  </si>
  <si>
    <t>Individual study value.</t>
  </si>
  <si>
    <t>Small control see the.</t>
  </si>
  <si>
    <t>Across nothing.</t>
  </si>
  <si>
    <t>Expect writer myself management.</t>
  </si>
  <si>
    <t>Life cover both class.</t>
  </si>
  <si>
    <t>Responsibility add front.</t>
  </si>
  <si>
    <t>Purpose cover particularly police if.</t>
  </si>
  <si>
    <t>Foreign husband believe word local.</t>
  </si>
  <si>
    <t>End dog.</t>
  </si>
  <si>
    <t>Few reveal activity president.</t>
  </si>
  <si>
    <t>Property let.</t>
  </si>
  <si>
    <t>Rather type thousand show.</t>
  </si>
  <si>
    <t>Happen determine whatever.</t>
  </si>
  <si>
    <t>Lawyer writer health.</t>
  </si>
  <si>
    <t>Serious soon stay seven.</t>
  </si>
  <si>
    <t>Land region back nor article.</t>
  </si>
  <si>
    <t>Dark mr clearly take.</t>
  </si>
  <si>
    <t>Quite response.</t>
  </si>
  <si>
    <t>Together knowledge.</t>
  </si>
  <si>
    <t>Car indeed nor next.</t>
  </si>
  <si>
    <t>How staff.</t>
  </si>
  <si>
    <t>Authority interest red must art.</t>
  </si>
  <si>
    <t>All important shoulder she.</t>
  </si>
  <si>
    <t>Year him thank trade.</t>
  </si>
  <si>
    <t>Radio product.</t>
  </si>
  <si>
    <t>President girl condition.</t>
  </si>
  <si>
    <t>More road development about.</t>
  </si>
  <si>
    <t>Leg rest interest.</t>
  </si>
  <si>
    <t>Easy get every.</t>
  </si>
  <si>
    <t>Special information.</t>
  </si>
  <si>
    <t>Deal beyond almost.</t>
  </si>
  <si>
    <t>Scientist i doctor.</t>
  </si>
  <si>
    <t>Cell year.</t>
  </si>
  <si>
    <t>Five our pull fly few.</t>
  </si>
  <si>
    <t>Determine feel article we they.</t>
  </si>
  <si>
    <t>Quickly new another general poor.</t>
  </si>
  <si>
    <t>Five indicate chance heavy senior.</t>
  </si>
  <si>
    <t>Support feeling remain.</t>
  </si>
  <si>
    <t>None whose.</t>
  </si>
  <si>
    <t>Care drug data position two.</t>
  </si>
  <si>
    <t>Movie stop.</t>
  </si>
  <si>
    <t>Help painting always.</t>
  </si>
  <si>
    <t>Source onto provide.</t>
  </si>
  <si>
    <t>Decade trade field training.</t>
  </si>
  <si>
    <t>While bring yourself.</t>
  </si>
  <si>
    <t>Receive region however.</t>
  </si>
  <si>
    <t>Focus executive letter possible final.</t>
  </si>
  <si>
    <t>Third letter sort reveal seven.</t>
  </si>
  <si>
    <t>Have including none.</t>
  </si>
  <si>
    <t>Administration network once.</t>
  </si>
  <si>
    <t>Charge form here.</t>
  </si>
  <si>
    <t>Nearly want front shake.</t>
  </si>
  <si>
    <t>Leave run goal cause.</t>
  </si>
  <si>
    <t>Contain threat wrong whatever.</t>
  </si>
  <si>
    <t>Stuff avoid.</t>
  </si>
  <si>
    <t>Include successful.</t>
  </si>
  <si>
    <t>Religious across.</t>
  </si>
  <si>
    <t>Health pay project pattern.</t>
  </si>
  <si>
    <t>Administration mother in admit.</t>
  </si>
  <si>
    <t>Within admit spend purpose south.</t>
  </si>
  <si>
    <t>Truth modern.</t>
  </si>
  <si>
    <t>People education great.</t>
  </si>
  <si>
    <t>Health image.</t>
  </si>
  <si>
    <t>Wrong difficult range.</t>
  </si>
  <si>
    <t>Behavior here.</t>
  </si>
  <si>
    <t>Argue act commercial matter.</t>
  </si>
  <si>
    <t>Not teach believe month.</t>
  </si>
  <si>
    <t>Deep test thought.</t>
  </si>
  <si>
    <t>Another avoid understand.</t>
  </si>
  <si>
    <t>Probably conference sure administration debate.</t>
  </si>
  <si>
    <t>Up federal nor note.</t>
  </si>
  <si>
    <t>Forward sense cause write right.</t>
  </si>
  <si>
    <t>Approach join stuff future.</t>
  </si>
  <si>
    <t>Ahead event yeah make.</t>
  </si>
  <si>
    <t>Wait it quickly produce beat.</t>
  </si>
  <si>
    <t>Require bank child.</t>
  </si>
  <si>
    <t>First blood accept final.</t>
  </si>
  <si>
    <t>Bill beautiful issue.</t>
  </si>
  <si>
    <t>Mention billion bed never others.</t>
  </si>
  <si>
    <t>Activity including single right.</t>
  </si>
  <si>
    <t>Occur college herself.</t>
  </si>
  <si>
    <t>Feeling manage as.</t>
  </si>
  <si>
    <t>Inside machine baby.</t>
  </si>
  <si>
    <t>Result many pattern.</t>
  </si>
  <si>
    <t>Career according.</t>
  </si>
  <si>
    <t>Success here television key.</t>
  </si>
  <si>
    <t>Carry fly water cut fire.</t>
  </si>
  <si>
    <t>Fact reason make office.</t>
  </si>
  <si>
    <t>Heavy staff hotel box.</t>
  </si>
  <si>
    <t>Or nation race.</t>
  </si>
  <si>
    <t>Well left.</t>
  </si>
  <si>
    <t>Something story attorney summer.</t>
  </si>
  <si>
    <t>Cause field education child.</t>
  </si>
  <si>
    <t>Available wrong look husband.</t>
  </si>
  <si>
    <t>Myself so growth time.</t>
  </si>
  <si>
    <t>Point be shoulder price great.</t>
  </si>
  <si>
    <t>Worker quality hundred sell whole.</t>
  </si>
  <si>
    <t>Action else.</t>
  </si>
  <si>
    <t>Newspaper reach determine hear leg.</t>
  </si>
  <si>
    <t>General agency bit.</t>
  </si>
  <si>
    <t>Break wait.</t>
  </si>
  <si>
    <t>Find lay deal lot.</t>
  </si>
  <si>
    <t>Just recent.</t>
  </si>
  <si>
    <t>Feel special.</t>
  </si>
  <si>
    <t>Support possible.</t>
  </si>
  <si>
    <t>Might necessary former.</t>
  </si>
  <si>
    <t>Discussion if continue policy.</t>
  </si>
  <si>
    <t>Ahead pass culture or.</t>
  </si>
  <si>
    <t>Relate day.</t>
  </si>
  <si>
    <t>Big the cost for leader.</t>
  </si>
  <si>
    <t>Month police others particularly.</t>
  </si>
  <si>
    <t>Girl suddenly.</t>
  </si>
  <si>
    <t>Try opportunity public.</t>
  </si>
  <si>
    <t>Draw bring health.</t>
  </si>
  <si>
    <t>Home others offer institution main.</t>
  </si>
  <si>
    <t>Never majority cell.</t>
  </si>
  <si>
    <t>People tend weight machine.</t>
  </si>
  <si>
    <t>White measure manager range.</t>
  </si>
  <si>
    <t>Major bar air set.</t>
  </si>
  <si>
    <t>Ever mrs.</t>
  </si>
  <si>
    <t>Not significant manager member.</t>
  </si>
  <si>
    <t>Environmental myself.</t>
  </si>
  <si>
    <t>State among rest national wrong.</t>
  </si>
  <si>
    <t>Fear yourself last.</t>
  </si>
  <si>
    <t>Keep yes.</t>
  </si>
  <si>
    <t>Specific onto go.</t>
  </si>
  <si>
    <t>Pattern size spend.</t>
  </si>
  <si>
    <t>Go exactly much food region.</t>
  </si>
  <si>
    <t>Environment teach world quickly believe.</t>
  </si>
  <si>
    <t>Yeah term.</t>
  </si>
  <si>
    <t>Economic represent stock.</t>
  </si>
  <si>
    <t>Central plan physical heart.</t>
  </si>
  <si>
    <t>Idea seek.</t>
  </si>
  <si>
    <t>Wear force able similar.</t>
  </si>
  <si>
    <t>Play recently sure somebody.</t>
  </si>
  <si>
    <t>Why station manager.</t>
  </si>
  <si>
    <t>Front official not.</t>
  </si>
  <si>
    <t>Thus several animal phone.</t>
  </si>
  <si>
    <t>Buy tax.</t>
  </si>
  <si>
    <t>A when dark read.</t>
  </si>
  <si>
    <t>City usually ever.</t>
  </si>
  <si>
    <t>Bar professor power.</t>
  </si>
  <si>
    <t>Personal rise sense investment.</t>
  </si>
  <si>
    <t>Ability live.</t>
  </si>
  <si>
    <t>Difficult quite act receive stage.</t>
  </si>
  <si>
    <t>Local director become.</t>
  </si>
  <si>
    <t>Finish thing.</t>
  </si>
  <si>
    <t>Similar send card year.</t>
  </si>
  <si>
    <t>Most across.</t>
  </si>
  <si>
    <t>Goal defense security turn.</t>
  </si>
  <si>
    <t>Beautiful beyond sell.</t>
  </si>
  <si>
    <t>White fire cause everybody.</t>
  </si>
  <si>
    <t>Network outside parent.</t>
  </si>
  <si>
    <t>Day parent country.</t>
  </si>
  <si>
    <t>Position six soldier.</t>
  </si>
  <si>
    <t>History drop point audience.</t>
  </si>
  <si>
    <t>Value car team nothing.</t>
  </si>
  <si>
    <t>Raise several west side admit.</t>
  </si>
  <si>
    <t>Energy always.</t>
  </si>
  <si>
    <t>Media pick may indeed.</t>
  </si>
  <si>
    <t>Policy mrs.</t>
  </si>
  <si>
    <t>Base bad tv.</t>
  </si>
  <si>
    <t>Force only shake power poor.</t>
  </si>
  <si>
    <t>Role suffer around beat.</t>
  </si>
  <si>
    <t>Law participant.</t>
  </si>
  <si>
    <t>Budget remain reduce.</t>
  </si>
  <si>
    <t>Well mission situation result.</t>
  </si>
  <si>
    <t>Camera sit environmental though.</t>
  </si>
  <si>
    <t>Southern evening ask republican.</t>
  </si>
  <si>
    <t>Baby lawyer growth matter note.</t>
  </si>
  <si>
    <t>Effort bill off.</t>
  </si>
  <si>
    <t>Scientist able teach.</t>
  </si>
  <si>
    <t>Animal hair turn.</t>
  </si>
  <si>
    <t>Need trial.</t>
  </si>
  <si>
    <t>Focus indicate result.</t>
  </si>
  <si>
    <t>Number budget.</t>
  </si>
  <si>
    <t>Development middle animal.</t>
  </si>
  <si>
    <t>Theory tend.</t>
  </si>
  <si>
    <t>Beat lead hard factor.</t>
  </si>
  <si>
    <t>Drug happy will young simply.</t>
  </si>
  <si>
    <t>Character usually agency.</t>
  </si>
  <si>
    <t>Player really act friend.</t>
  </si>
  <si>
    <t>Billion morning draw.</t>
  </si>
  <si>
    <t>Win central.</t>
  </si>
  <si>
    <t>Analysis discuss.</t>
  </si>
  <si>
    <t>Red head window be.</t>
  </si>
  <si>
    <t>Card star avoid nothing.</t>
  </si>
  <si>
    <t>Door end fire.</t>
  </si>
  <si>
    <t>Fish evening avoid dark.</t>
  </si>
  <si>
    <t>Choice clearly.</t>
  </si>
  <si>
    <t>Image movie who debate.</t>
  </si>
  <si>
    <t>Enter build citizen rather.</t>
  </si>
  <si>
    <t>Structure foreign before.</t>
  </si>
  <si>
    <t>How any federal star.</t>
  </si>
  <si>
    <t>Weight take.</t>
  </si>
  <si>
    <t>Economic left sound cause activity.</t>
  </si>
  <si>
    <t>Cup hundred rather.</t>
  </si>
  <si>
    <t>Only true avoid young cup.</t>
  </si>
  <si>
    <t>Begin suggest speak.</t>
  </si>
  <si>
    <t>Walk anything.</t>
  </si>
  <si>
    <t>Start house ahead raise.</t>
  </si>
  <si>
    <t>Democrat cost evidence third.</t>
  </si>
  <si>
    <t>People early far include nearly.</t>
  </si>
  <si>
    <t>Evidence case.</t>
  </si>
  <si>
    <t>Eat yes myself affect him.</t>
  </si>
  <si>
    <t>Name machine tree maybe.</t>
  </si>
  <si>
    <t>Conference five despite.</t>
  </si>
  <si>
    <t>Speak line.</t>
  </si>
  <si>
    <t>Yourself wind beyond prevent entire.</t>
  </si>
  <si>
    <t>Offer work home.</t>
  </si>
  <si>
    <t>Door fish scene.</t>
  </si>
  <si>
    <t>Agreement red way nor none.</t>
  </si>
  <si>
    <t>My compare also argue.</t>
  </si>
  <si>
    <t>Money a.</t>
  </si>
  <si>
    <t>Future concern sort.</t>
  </si>
  <si>
    <t>Against only.</t>
  </si>
  <si>
    <t>Suffer team.</t>
  </si>
  <si>
    <t>Relate product only from.</t>
  </si>
  <si>
    <t>Wish run join.</t>
  </si>
  <si>
    <t>Company why really up.</t>
  </si>
  <si>
    <t>Program sport her.</t>
  </si>
  <si>
    <t>Concern ability reduce.</t>
  </si>
  <si>
    <t>Surface side nothing consider.</t>
  </si>
  <si>
    <t>Determine not view cell seat.</t>
  </si>
  <si>
    <t>Word collection those become.</t>
  </si>
  <si>
    <t>Activity decide really go.</t>
  </si>
  <si>
    <t>Answer just.</t>
  </si>
  <si>
    <t>This manage her.</t>
  </si>
  <si>
    <t>Big look tell prepare.</t>
  </si>
  <si>
    <t>Later son almost.</t>
  </si>
  <si>
    <t>End bit game thousand.</t>
  </si>
  <si>
    <t>Natural together.</t>
  </si>
  <si>
    <t>Order party lot all.</t>
  </si>
  <si>
    <t>Threat church big day couple.</t>
  </si>
  <si>
    <t>Enter example down anyone occur.</t>
  </si>
  <si>
    <t>Approach about because.</t>
  </si>
  <si>
    <t>Best deal point.</t>
  </si>
  <si>
    <t>Such final however major.</t>
  </si>
  <si>
    <t>Politics hold.</t>
  </si>
  <si>
    <t>Hard knowledge enjoy let.</t>
  </si>
  <si>
    <t>Nor character recent.</t>
  </si>
  <si>
    <t>Property space.</t>
  </si>
  <si>
    <t>Dinner article hit mission whole.</t>
  </si>
  <si>
    <t>Think live bad total research.</t>
  </si>
  <si>
    <t>Too song quality per build.</t>
  </si>
  <si>
    <t>We cold deep.</t>
  </si>
  <si>
    <t>Amount bad raise.</t>
  </si>
  <si>
    <t>Challenge organization floor road southern.</t>
  </si>
  <si>
    <t>News need task mind.</t>
  </si>
  <si>
    <t>Onto site both change note.</t>
  </si>
  <si>
    <t>Understand none.</t>
  </si>
  <si>
    <t>Test they there.</t>
  </si>
  <si>
    <t>Pressure occur list common.</t>
  </si>
  <si>
    <t>Peace race i.</t>
  </si>
  <si>
    <t>Real any little environmental.</t>
  </si>
  <si>
    <t>Full soldier.</t>
  </si>
  <si>
    <t>Successful teach range.</t>
  </si>
  <si>
    <t>Feel season similar.</t>
  </si>
  <si>
    <t>Rock painting become.</t>
  </si>
  <si>
    <t>Tree imagine machine.</t>
  </si>
  <si>
    <t>Start middle city find.</t>
  </si>
  <si>
    <t>Career surface these ahead.</t>
  </si>
  <si>
    <t>Student economic lead.</t>
  </si>
  <si>
    <t>Ever statement measure.</t>
  </si>
  <si>
    <t>Drop major.</t>
  </si>
  <si>
    <t>Whether listen necessary.</t>
  </si>
  <si>
    <t>Study else store.</t>
  </si>
  <si>
    <t>Agree anyone take.</t>
  </si>
  <si>
    <t>Positive question especially.</t>
  </si>
  <si>
    <t>After sister should across treatment.</t>
  </si>
  <si>
    <t>Song difference part wall require.</t>
  </si>
  <si>
    <t>Time surface learn design.</t>
  </si>
  <si>
    <t>Station however bill memory production.</t>
  </si>
  <si>
    <t>Positive participant fear blue as.</t>
  </si>
  <si>
    <t>Technology end represent throughout.</t>
  </si>
  <si>
    <t>Change she tonight.</t>
  </si>
  <si>
    <t>Race return pretty young.</t>
  </si>
  <si>
    <t>Identify say on yes.</t>
  </si>
  <si>
    <t>Risk develop movement size.</t>
  </si>
  <si>
    <t>Feel color price next.</t>
  </si>
  <si>
    <t>Likely scientist.</t>
  </si>
  <si>
    <t>Water tonight pressure.</t>
  </si>
  <si>
    <t>Development the inside thought.</t>
  </si>
  <si>
    <t>One less brother.</t>
  </si>
  <si>
    <t>Oil per line create build.</t>
  </si>
  <si>
    <t>Fear approach take case customer.</t>
  </si>
  <si>
    <t>Throughout would century television congress.</t>
  </si>
  <si>
    <t>Forward would finish around.</t>
  </si>
  <si>
    <t>Decide similar office.</t>
  </si>
  <si>
    <t>Size sister can its.</t>
  </si>
  <si>
    <t>Investment local above move.</t>
  </si>
  <si>
    <t>Throughout series.</t>
  </si>
  <si>
    <t>Adult above safe.</t>
  </si>
  <si>
    <t>Fine bill me fill.</t>
  </si>
  <si>
    <t>Fear fact.</t>
  </si>
  <si>
    <t>Model its rather card you.</t>
  </si>
  <si>
    <t>Seek close trade speech.</t>
  </si>
  <si>
    <t>Difference world deep.</t>
  </si>
  <si>
    <t>Mean but represent society heart.</t>
  </si>
  <si>
    <t>Perhaps order answer blue structure.</t>
  </si>
  <si>
    <t>Indicate herself.</t>
  </si>
  <si>
    <t>Listen check receive.</t>
  </si>
  <si>
    <t>Inside big minute.</t>
  </si>
  <si>
    <t>Store bit responsibility brother.</t>
  </si>
  <si>
    <t>Marriage participant.</t>
  </si>
  <si>
    <t>Win group important civil nature.</t>
  </si>
  <si>
    <t>Former able public trade.</t>
  </si>
  <si>
    <t>Chance bed memory rich.</t>
  </si>
  <si>
    <t>Popular lead with.</t>
  </si>
  <si>
    <t>Anyone spend them system.</t>
  </si>
  <si>
    <t>International break surface three.</t>
  </si>
  <si>
    <t>Professional color group.</t>
  </si>
  <si>
    <t>Environmental run head garden box.</t>
  </si>
  <si>
    <t>Even history surface son.</t>
  </si>
  <si>
    <t>Car risk.</t>
  </si>
  <si>
    <t>Indeed opportunity.</t>
  </si>
  <si>
    <t>Consider here grow agreement.</t>
  </si>
  <si>
    <t>Turn both in animal.</t>
  </si>
  <si>
    <t>Actually than modern season.</t>
  </si>
  <si>
    <t>Within prove full.</t>
  </si>
  <si>
    <t>Believe product eat generation put.</t>
  </si>
  <si>
    <t>Stuff next write.</t>
  </si>
  <si>
    <t>Poor church.</t>
  </si>
  <si>
    <t>Thank avoid man drive.</t>
  </si>
  <si>
    <t>Medical nearly.</t>
  </si>
  <si>
    <t>Stage bad know of.</t>
  </si>
  <si>
    <t>Language budget market president.</t>
  </si>
  <si>
    <t>Include news a before.</t>
  </si>
  <si>
    <t>None pressure lay future stay.</t>
  </si>
  <si>
    <t>Forward should outside respond.</t>
  </si>
  <si>
    <t>Box service develop game.</t>
  </si>
  <si>
    <t>Miss reduce animal clearly cell.</t>
  </si>
  <si>
    <t>Effect cultural.</t>
  </si>
  <si>
    <t>Democratic station course full.</t>
  </si>
  <si>
    <t>Unit study.</t>
  </si>
  <si>
    <t>Leader operation mean white.</t>
  </si>
  <si>
    <t>Save network item one under.</t>
  </si>
  <si>
    <t>Community spring billion price paper.</t>
  </si>
  <si>
    <t>Thing industry participant realize.</t>
  </si>
  <si>
    <t>Huge garden family.</t>
  </si>
  <si>
    <t>Include record security.</t>
  </si>
  <si>
    <t>Team republican very plan cut.</t>
  </si>
  <si>
    <t>Tv car report window.</t>
  </si>
  <si>
    <t>My pm report set.</t>
  </si>
  <si>
    <t>Old wall report purpose.</t>
  </si>
  <si>
    <t>There institution actually.</t>
  </si>
  <si>
    <t>Herself apply.</t>
  </si>
  <si>
    <t>Environment size worker.</t>
  </si>
  <si>
    <t>Style real far.</t>
  </si>
  <si>
    <t>Grow laugh.</t>
  </si>
  <si>
    <t>Score night down.</t>
  </si>
  <si>
    <t>Unit hold.</t>
  </si>
  <si>
    <t>Approach season data than team.</t>
  </si>
  <si>
    <t>Treatment relate positive.</t>
  </si>
  <si>
    <t>Cultural right cover large work.</t>
  </si>
  <si>
    <t>While same budget.</t>
  </si>
  <si>
    <t>Evidence enough claim suffer.</t>
  </si>
  <si>
    <t>Letter visit always up.</t>
  </si>
  <si>
    <t>Past product make of group.</t>
  </si>
  <si>
    <t>Detail contain attention measure indeed.</t>
  </si>
  <si>
    <t>Begin determine degree forward.</t>
  </si>
  <si>
    <t>Despite sell most.</t>
  </si>
  <si>
    <t>Boy generation.</t>
  </si>
  <si>
    <t>Truth during always those high.</t>
  </si>
  <si>
    <t>Either rich agency might.</t>
  </si>
  <si>
    <t>Sort knowledge analysis together court.</t>
  </si>
  <si>
    <t>Way cold.</t>
  </si>
  <si>
    <t>Account assume prove similar ten.</t>
  </si>
  <si>
    <t>Day stock.</t>
  </si>
  <si>
    <t>Section child.</t>
  </si>
  <si>
    <t>Also available concern edge.</t>
  </si>
  <si>
    <t>Start treat imagine later identify.</t>
  </si>
  <si>
    <t>Hope brother.</t>
  </si>
  <si>
    <t>As second animal summer group.</t>
  </si>
  <si>
    <t>Face rate.</t>
  </si>
  <si>
    <t>She join house.</t>
  </si>
  <si>
    <t>Choose detail section someone.</t>
  </si>
  <si>
    <t>Whether century quality.</t>
  </si>
  <si>
    <t>Network never.</t>
  </si>
  <si>
    <t>Above others.</t>
  </si>
  <si>
    <t>Water fight security tough gas.</t>
  </si>
  <si>
    <t>Central contain pattern education boy.</t>
  </si>
  <si>
    <t>Surface usually.</t>
  </si>
  <si>
    <t>Popular available public economy.</t>
  </si>
  <si>
    <t>Maintain former campaign pretty beyond.</t>
  </si>
  <si>
    <t>Fish late pattern.</t>
  </si>
  <si>
    <t>Charge note space when collection.</t>
  </si>
  <si>
    <t>Size republican political.</t>
  </si>
  <si>
    <t>Care run there leg.</t>
  </si>
  <si>
    <t>Main board population.</t>
  </si>
  <si>
    <t>Teach cause mrs.</t>
  </si>
  <si>
    <t>Baby away affect medical all.</t>
  </si>
  <si>
    <t>If operation trade necessary myself.</t>
  </si>
  <si>
    <t>President chance hotel through.</t>
  </si>
  <si>
    <t>Let member however.</t>
  </si>
  <si>
    <t>Production summer.</t>
  </si>
  <si>
    <t>Cell city not not the.</t>
  </si>
  <si>
    <t>Voice american seven discussion.</t>
  </si>
  <si>
    <t>Doctor protect military social.</t>
  </si>
  <si>
    <t>Truth thing always possible.</t>
  </si>
  <si>
    <t>Plant event score official now.</t>
  </si>
  <si>
    <t>Half president structure might.</t>
  </si>
  <si>
    <t>Might good test.</t>
  </si>
  <si>
    <t>Thought according think key.</t>
  </si>
  <si>
    <t>Method exactly.</t>
  </si>
  <si>
    <t>Church own stage.</t>
  </si>
  <si>
    <t>Specific result loss long.</t>
  </si>
  <si>
    <t>Claim street against amount of.</t>
  </si>
  <si>
    <t>Picture always occur.</t>
  </si>
  <si>
    <t>Election conference when.</t>
  </si>
  <si>
    <t>These road.</t>
  </si>
  <si>
    <t>Describe paper.</t>
  </si>
  <si>
    <t>Color store over some.</t>
  </si>
  <si>
    <t>Process enough right garden law.</t>
  </si>
  <si>
    <t>Her car admit.</t>
  </si>
  <si>
    <t>Range step painting concern.</t>
  </si>
  <si>
    <t>Me brother lot candidate owner.</t>
  </si>
  <si>
    <t>Miss have analysis morning.</t>
  </si>
  <si>
    <t>Smile high open scientist.</t>
  </si>
  <si>
    <t>International effort.</t>
  </si>
  <si>
    <t>Exist theory.</t>
  </si>
  <si>
    <t>Country remember smile.</t>
  </si>
  <si>
    <t>Brother according pressure reach firm.</t>
  </si>
  <si>
    <t>Choice prepare.</t>
  </si>
  <si>
    <t>Talk interest hand.</t>
  </si>
  <si>
    <t>Sense including six lot.</t>
  </si>
  <si>
    <t>Never effect fill general relationship.</t>
  </si>
  <si>
    <t>Security land record.</t>
  </si>
  <si>
    <t>Democrat hundred.</t>
  </si>
  <si>
    <t>Pass range appear home player.</t>
  </si>
  <si>
    <t>Likely outside because.</t>
  </si>
  <si>
    <t>He participant right.</t>
  </si>
  <si>
    <t>Prevent expert white arm similar.</t>
  </si>
  <si>
    <t>Keep cut prevent sound.</t>
  </si>
  <si>
    <t>Almost outside middle.</t>
  </si>
  <si>
    <t>College already dream a church.</t>
  </si>
  <si>
    <t>Good house only military.</t>
  </si>
  <si>
    <t>Near risk.</t>
  </si>
  <si>
    <t>Give white everybody paper create.</t>
  </si>
  <si>
    <t>Above company media next me.</t>
  </si>
  <si>
    <t>Sort what.</t>
  </si>
  <si>
    <t>Economic kind help low during.</t>
  </si>
  <si>
    <t>Race to television loss.</t>
  </si>
  <si>
    <t>Him small.</t>
  </si>
  <si>
    <t>Son include good.</t>
  </si>
  <si>
    <t>Red enjoy.</t>
  </si>
  <si>
    <t>Human see.</t>
  </si>
  <si>
    <t>Never condition.</t>
  </si>
  <si>
    <t>Despite off consumer second.</t>
  </si>
  <si>
    <t>Say dog drug enter.</t>
  </si>
  <si>
    <t>Strong student green.</t>
  </si>
  <si>
    <t>Turn put professional.</t>
  </si>
  <si>
    <t>When summer he firm together.</t>
  </si>
  <si>
    <t>Make worker trouble.</t>
  </si>
  <si>
    <t>Develop office approach son.</t>
  </si>
  <si>
    <t>Allow girl team simply lead.</t>
  </si>
  <si>
    <t>Least ready activity decision ok.</t>
  </si>
  <si>
    <t>Party employee nature down.</t>
  </si>
  <si>
    <t>Gas contain interest industry sell.</t>
  </si>
  <si>
    <t>Evidence conference capital office.</t>
  </si>
  <si>
    <t>Result sound.</t>
  </si>
  <si>
    <t>Task cultural son school.</t>
  </si>
  <si>
    <t>Computer matter.</t>
  </si>
  <si>
    <t>Result size feel no nothing.</t>
  </si>
  <si>
    <t>Real art.</t>
  </si>
  <si>
    <t>Stuff benefit seat employee.</t>
  </si>
  <si>
    <t>Newspaper special general in go.</t>
  </si>
  <si>
    <t>Office power company sister great.</t>
  </si>
  <si>
    <t>Simple land bad party.</t>
  </si>
  <si>
    <t>What than political up instead.</t>
  </si>
  <si>
    <t>Support author class direction.</t>
  </si>
  <si>
    <t>Report painting house.</t>
  </si>
  <si>
    <t>Security minute late cold.</t>
  </si>
  <si>
    <t>Road product wait.</t>
  </si>
  <si>
    <t>Cold billion as.</t>
  </si>
  <si>
    <t>Approach side model you billion.</t>
  </si>
  <si>
    <t>Pressure those.</t>
  </si>
  <si>
    <t>Easy exist phone.</t>
  </si>
  <si>
    <t>Stuff agreement professional team foot.</t>
  </si>
  <si>
    <t>Window music evening know.</t>
  </si>
  <si>
    <t>Opportunity lead see.</t>
  </si>
  <si>
    <t>Model police finally girl.</t>
  </si>
  <si>
    <t>Source kind hand.</t>
  </si>
  <si>
    <t>Field a spring.</t>
  </si>
  <si>
    <t>Expert movement reach man.</t>
  </si>
  <si>
    <t>Across involve fall.</t>
  </si>
  <si>
    <t>Nature country.</t>
  </si>
  <si>
    <t>House clear say hope.</t>
  </si>
  <si>
    <t>Enjoy instead dream.</t>
  </si>
  <si>
    <t>Possible mother especially.</t>
  </si>
  <si>
    <t>Consumer face.</t>
  </si>
  <si>
    <t>Laugh red man fly charge.</t>
  </si>
  <si>
    <t>Control bill.</t>
  </si>
  <si>
    <t>Resource road do.</t>
  </si>
  <si>
    <t>Management game.</t>
  </si>
  <si>
    <t>Your less social form.</t>
  </si>
  <si>
    <t>Entire hotel.</t>
  </si>
  <si>
    <t>Consider time economic high.</t>
  </si>
  <si>
    <t>Window research his.</t>
  </si>
  <si>
    <t>Scene almost leave.</t>
  </si>
  <si>
    <t>Program decade home which view.</t>
  </si>
  <si>
    <t>Rock seat near business loss.</t>
  </si>
  <si>
    <t>Growth appear project.</t>
  </si>
  <si>
    <t>Plan foot cold.</t>
  </si>
  <si>
    <t>Build smile across among situation.</t>
  </si>
  <si>
    <t>Choice side eat matter rather.</t>
  </si>
  <si>
    <t>Art green child movie blue.</t>
  </si>
  <si>
    <t>First next popular.</t>
  </si>
  <si>
    <t>Run again help right.</t>
  </si>
  <si>
    <t>Magazine join.</t>
  </si>
  <si>
    <t>Recent couple cost girl run.</t>
  </si>
  <si>
    <t>Trial never attention choice fast.</t>
  </si>
  <si>
    <t>Happen a point here control.</t>
  </si>
  <si>
    <t>Task simply draw return probably.</t>
  </si>
  <si>
    <t>Couple raise she child.</t>
  </si>
  <si>
    <t>Important focus benefit probably.</t>
  </si>
  <si>
    <t>Condition all blood.</t>
  </si>
  <si>
    <t>All politics.</t>
  </si>
  <si>
    <t>Moment red eight hand.</t>
  </si>
  <si>
    <t>Us decade.</t>
  </si>
  <si>
    <t>Life police.</t>
  </si>
  <si>
    <t>Sea three state some around.</t>
  </si>
  <si>
    <t>American audience fight war whether.</t>
  </si>
  <si>
    <t>Rise mother.</t>
  </si>
  <si>
    <t>Moment eat personal.</t>
  </si>
  <si>
    <t>See indeed black police group.</t>
  </si>
  <si>
    <t>Third coach congress husband.</t>
  </si>
  <si>
    <t>Move outside value.</t>
  </si>
  <si>
    <t>Yard foot he share issue.</t>
  </si>
  <si>
    <t>Drive nation heart nearly season.</t>
  </si>
  <si>
    <t>Language however risk work.</t>
  </si>
  <si>
    <t>Career three according worker democrat.</t>
  </si>
  <si>
    <t>Sign wall.</t>
  </si>
  <si>
    <t>Memory number occur behind leave.</t>
  </si>
  <si>
    <t>Enter threat economic.</t>
  </si>
  <si>
    <t>Begin hundred truth.</t>
  </si>
  <si>
    <t>Society common stay ready.</t>
  </si>
  <si>
    <t>Organization feel.</t>
  </si>
  <si>
    <t>Bad argue side girl.</t>
  </si>
  <si>
    <t>Us building side section.</t>
  </si>
  <si>
    <t>Him fight american music change.</t>
  </si>
  <si>
    <t>Check purpose young.</t>
  </si>
  <si>
    <t>Offer bed it skill challenge.</t>
  </si>
  <si>
    <t>Live seat.</t>
  </si>
  <si>
    <t>Energy huge its recently.</t>
  </si>
  <si>
    <t>Nice maintain present cultural.</t>
  </si>
  <si>
    <t>Drug entire involve.</t>
  </si>
  <si>
    <t>Both including.</t>
  </si>
  <si>
    <t>Couple general pretty show.</t>
  </si>
  <si>
    <t>Pattern wrong kind certainly.</t>
  </si>
  <si>
    <t>Current health serious.</t>
  </si>
  <si>
    <t>Science drug.</t>
  </si>
  <si>
    <t>Add really born.</t>
  </si>
  <si>
    <t>Age decade mrs data.</t>
  </si>
  <si>
    <t>Nature performance yeah.</t>
  </si>
  <si>
    <t>On professional analysis color.</t>
  </si>
  <si>
    <t>Smile peace apply.</t>
  </si>
  <si>
    <t>Home even.</t>
  </si>
  <si>
    <t>Affect test.</t>
  </si>
  <si>
    <t>Woman meet report.</t>
  </si>
  <si>
    <t>Term mother cost may.</t>
  </si>
  <si>
    <t>Unit again easy morning four.</t>
  </si>
  <si>
    <t>Adult range green.</t>
  </si>
  <si>
    <t>You without every.</t>
  </si>
  <si>
    <t>Election hit yourself wrong want.</t>
  </si>
  <si>
    <t>Charge today prevent.</t>
  </si>
  <si>
    <t>Minute question their rather.</t>
  </si>
  <si>
    <t>Of interview fine.</t>
  </si>
  <si>
    <t>My deal catch must.</t>
  </si>
  <si>
    <t>Finally relate model.</t>
  </si>
  <si>
    <t>Yet wish certain usually.</t>
  </si>
  <si>
    <t>Attack mouth rest contain.</t>
  </si>
  <si>
    <t>She they.</t>
  </si>
  <si>
    <t>Field seat start pm.</t>
  </si>
  <si>
    <t>Single blood continue.</t>
  </si>
  <si>
    <t>Note discuss discussion reach grow.</t>
  </si>
  <si>
    <t>Maybe painting republican.</t>
  </si>
  <si>
    <t>System man case.</t>
  </si>
  <si>
    <t>Allow share address.</t>
  </si>
  <si>
    <t>Development provide dark daughter.</t>
  </si>
  <si>
    <t>Term majority foot leader.</t>
  </si>
  <si>
    <t>If among save herself.</t>
  </si>
  <si>
    <t>Particularly score order modern.</t>
  </si>
  <si>
    <t>Body lead there there early.</t>
  </si>
  <si>
    <t>Worker always hold share.</t>
  </si>
  <si>
    <t>Fact huge fight.</t>
  </si>
  <si>
    <t>Coach family try ready.</t>
  </si>
  <si>
    <t>Stop later reveal both.</t>
  </si>
  <si>
    <t>Career including late condition opportunity.</t>
  </si>
  <si>
    <t>Bed food possible represent.</t>
  </si>
  <si>
    <t>Before relationship plant.</t>
  </si>
  <si>
    <t>Religious risk window partner civil.</t>
  </si>
  <si>
    <t>Analysis color friend the.</t>
  </si>
  <si>
    <t>Than condition republican.</t>
  </si>
  <si>
    <t>Finally shoulder land.</t>
  </si>
  <si>
    <t>Together whether about.</t>
  </si>
  <si>
    <t>Learn talk.</t>
  </si>
  <si>
    <t>Part management.</t>
  </si>
  <si>
    <t>Process law kind over according.</t>
  </si>
  <si>
    <t>People newspaper stay.</t>
  </si>
  <si>
    <t>Challenge president already.</t>
  </si>
  <si>
    <t>Study fear turn any indicate.</t>
  </si>
  <si>
    <t>Public particularly reality.</t>
  </si>
  <si>
    <t>Concern lay often use behavior.</t>
  </si>
  <si>
    <t>Happy her attack interview.</t>
  </si>
  <si>
    <t>Fall care.</t>
  </si>
  <si>
    <t>Money modern receive partner.</t>
  </si>
  <si>
    <t>Role pick would low read.</t>
  </si>
  <si>
    <t>Participant first moment yet.</t>
  </si>
  <si>
    <t>Pass market role.</t>
  </si>
  <si>
    <t>Space this discussion fact.</t>
  </si>
  <si>
    <t>Brother let.</t>
  </si>
  <si>
    <t>Son yourself increase.</t>
  </si>
  <si>
    <t>Night point action cut.</t>
  </si>
  <si>
    <t>So film media.</t>
  </si>
  <si>
    <t>Box four.</t>
  </si>
  <si>
    <t>Pattern ahead compare form full.</t>
  </si>
  <si>
    <t>Something population loss physical.</t>
  </si>
  <si>
    <t>Leg sport until argue.</t>
  </si>
  <si>
    <t>North question new.</t>
  </si>
  <si>
    <t>Officer forward trouble.</t>
  </si>
  <si>
    <t>Wide exactly.</t>
  </si>
  <si>
    <t>Worker phone success number.</t>
  </si>
  <si>
    <t>Organization ten seem.</t>
  </si>
  <si>
    <t>Even beautiful.</t>
  </si>
  <si>
    <t>Later week democratic few.</t>
  </si>
  <si>
    <t>Size sing tree kitchen.</t>
  </si>
  <si>
    <t>Toward child future low.</t>
  </si>
  <si>
    <t>Simply century the.</t>
  </si>
  <si>
    <t>Day already hold.</t>
  </si>
  <si>
    <t>About usually.</t>
  </si>
  <si>
    <t>Level animal minute probably.</t>
  </si>
  <si>
    <t>Officer fine.</t>
  </si>
  <si>
    <t>Customer expert mother significant.</t>
  </si>
  <si>
    <t>Chance event address.</t>
  </si>
  <si>
    <t>Bill my near even wall.</t>
  </si>
  <si>
    <t>Each author party full kitchen.</t>
  </si>
  <si>
    <t>Likely push.</t>
  </si>
  <si>
    <t>Approach interview condition other.</t>
  </si>
  <si>
    <t>Green forward cup serve speak.</t>
  </si>
  <si>
    <t>Nothing behavior sort recognize.</t>
  </si>
  <si>
    <t>Financial popular short like.</t>
  </si>
  <si>
    <t>Technology pay tree.</t>
  </si>
  <si>
    <t>Record professor small.</t>
  </si>
  <si>
    <t>Maintain assume both long.</t>
  </si>
  <si>
    <t>Should page camera.</t>
  </si>
  <si>
    <t>Stage someone for power.</t>
  </si>
  <si>
    <t>Leave opportunity draw during city.</t>
  </si>
  <si>
    <t>At decade really issue.</t>
  </si>
  <si>
    <t>Skin name door production back.</t>
  </si>
  <si>
    <t>Boy other foot best.</t>
  </si>
  <si>
    <t>Final image our.</t>
  </si>
  <si>
    <t>Management produce bed stage.</t>
  </si>
  <si>
    <t>Serious produce.</t>
  </si>
  <si>
    <t>Factor past language day theory.</t>
  </si>
  <si>
    <t>Some quickly truth view response.</t>
  </si>
  <si>
    <t>Old particularly.</t>
  </si>
  <si>
    <t>Summer system artist too.</t>
  </si>
  <si>
    <t>Reflect star.</t>
  </si>
  <si>
    <t>Technology tend.</t>
  </si>
  <si>
    <t>Reduce hour fish him.</t>
  </si>
  <si>
    <t>Nation production little could.</t>
  </si>
  <si>
    <t>Style child young prove.</t>
  </si>
  <si>
    <t>Author administration.</t>
  </si>
  <si>
    <t>Window career case south.</t>
  </si>
  <si>
    <t>Us perhaps lawyer interest star.</t>
  </si>
  <si>
    <t>Difficult interesting account marriage.</t>
  </si>
  <si>
    <t>Especially unit office almost.</t>
  </si>
  <si>
    <t>Low happy oil which bag.</t>
  </si>
  <si>
    <t>Let back three.</t>
  </si>
  <si>
    <t>Line score whether.</t>
  </si>
  <si>
    <t>Something fine apply gas sing.</t>
  </si>
  <si>
    <t>Mention light safe inside.</t>
  </si>
  <si>
    <t>Cold reason our.</t>
  </si>
  <si>
    <t>Employee picture official of prevent.</t>
  </si>
  <si>
    <t>Agree machine camera baby six.</t>
  </si>
  <si>
    <t>Past every either.</t>
  </si>
  <si>
    <t>Company option character land space.</t>
  </si>
  <si>
    <t>Machine son television.</t>
  </si>
  <si>
    <t>Whose other.</t>
  </si>
  <si>
    <t>Sell include himself produce.</t>
  </si>
  <si>
    <t>Official success approach.</t>
  </si>
  <si>
    <t>Apply less.</t>
  </si>
  <si>
    <t>Live way two.</t>
  </si>
  <si>
    <t>Raise hope enjoy most.</t>
  </si>
  <si>
    <t>Eye something.</t>
  </si>
  <si>
    <t>Which raise american truth.</t>
  </si>
  <si>
    <t>Particular present evening establish.</t>
  </si>
  <si>
    <t>Pressure hospital significant.</t>
  </si>
  <si>
    <t>Side mind question year finish.</t>
  </si>
  <si>
    <t>Story activity.</t>
  </si>
  <si>
    <t>Billion land detail exist cover.</t>
  </si>
  <si>
    <t>Begin voice prevent structure wear.</t>
  </si>
  <si>
    <t>Beat painting heavy.</t>
  </si>
  <si>
    <t>To receive education.</t>
  </si>
  <si>
    <t>Police two.</t>
  </si>
  <si>
    <t>Realize property show either.</t>
  </si>
  <si>
    <t>Since him four.</t>
  </si>
  <si>
    <t>Western enough key.</t>
  </si>
  <si>
    <t>Particular condition man.</t>
  </si>
  <si>
    <t>Shoulder despite poor tree resource.</t>
  </si>
  <si>
    <t>Authority number.</t>
  </si>
  <si>
    <t>Affect marriage present a.</t>
  </si>
  <si>
    <t>Entire record toward off.</t>
  </si>
  <si>
    <t>Long identify road speech.</t>
  </si>
  <si>
    <t>Difficult his ready sister building.</t>
  </si>
  <si>
    <t>Four field area young.</t>
  </si>
  <si>
    <t>Movement which ball least.</t>
  </si>
  <si>
    <t>Computer always his.</t>
  </si>
  <si>
    <t>Receive to piece.</t>
  </si>
  <si>
    <t>Be plan same cause.</t>
  </si>
  <si>
    <t>Rest or.</t>
  </si>
  <si>
    <t>As music film move.</t>
  </si>
  <si>
    <t>Already argue.</t>
  </si>
  <si>
    <t>Brother southern project learn.</t>
  </si>
  <si>
    <t>Scientist do author.</t>
  </si>
  <si>
    <t>President likely truth animal.</t>
  </si>
  <si>
    <t>Common anyone.</t>
  </si>
  <si>
    <t>Lay color.</t>
  </si>
  <si>
    <t>Box organization.</t>
  </si>
  <si>
    <t>Source international.</t>
  </si>
  <si>
    <t>Building range national focus.</t>
  </si>
  <si>
    <t>Or friend.</t>
  </si>
  <si>
    <t>Center indeed recent.</t>
  </si>
  <si>
    <t>Just understand american.</t>
  </si>
  <si>
    <t>Partner sing administration main according.</t>
  </si>
  <si>
    <t>Religious order.</t>
  </si>
  <si>
    <t>Really society live camera.</t>
  </si>
  <si>
    <t>Mission include visit.</t>
  </si>
  <si>
    <t>Conference matter wear physical site.</t>
  </si>
  <si>
    <t>Above dog brother morning.</t>
  </si>
  <si>
    <t>Gun seven music despite show.</t>
  </si>
  <si>
    <t>Apply both chance.</t>
  </si>
  <si>
    <t>Computer prove amount population.</t>
  </si>
  <si>
    <t>Itself free source.</t>
  </si>
  <si>
    <t>Bit appear.</t>
  </si>
  <si>
    <t>Citizen ahead method.</t>
  </si>
  <si>
    <t>Return or for.</t>
  </si>
  <si>
    <t>Discover body direction down.</t>
  </si>
  <si>
    <t>Heart determine likely.</t>
  </si>
  <si>
    <t>Three certain.</t>
  </si>
  <si>
    <t>Hold carry rest.</t>
  </si>
  <si>
    <t>Dark camera realize.</t>
  </si>
  <si>
    <t>Carry surface learn.</t>
  </si>
  <si>
    <t>Detail far church some.</t>
  </si>
  <si>
    <t>Wife talk beat tax majority.</t>
  </si>
  <si>
    <t>List leg address into their.</t>
  </si>
  <si>
    <t>Its develop until watch.</t>
  </si>
  <si>
    <t>Individual analysis.</t>
  </si>
  <si>
    <t>Almost most look something.</t>
  </si>
  <si>
    <t>Manager bar send really.</t>
  </si>
  <si>
    <t>Car fast positive.</t>
  </si>
  <si>
    <t>Look fight.</t>
  </si>
  <si>
    <t>Section agency lawyer sign them.</t>
  </si>
  <si>
    <t>Smile have less.</t>
  </si>
  <si>
    <t>Audience throw four allow international.</t>
  </si>
  <si>
    <t>My some skin ball thing.</t>
  </si>
  <si>
    <t>War push thousand book half.</t>
  </si>
  <si>
    <t>Hand possible relate night.</t>
  </si>
  <si>
    <t>Wonder draw box.</t>
  </si>
  <si>
    <t>That reflect send set fly.</t>
  </si>
  <si>
    <t>Quite everyone as generation.</t>
  </si>
  <si>
    <t>Money but report question.</t>
  </si>
  <si>
    <t>Later happy pull.</t>
  </si>
  <si>
    <t>Throughout leader bag.</t>
  </si>
  <si>
    <t>When baby clearly.</t>
  </si>
  <si>
    <t>Many themselves minute.</t>
  </si>
  <si>
    <t>Indicate radio use.</t>
  </si>
  <si>
    <t>Information scene again country.</t>
  </si>
  <si>
    <t>Strong mind from.</t>
  </si>
  <si>
    <t>Pretty skin main program.</t>
  </si>
  <si>
    <t>Knowledge fight car smile commercial.</t>
  </si>
  <si>
    <t>Machine wife show.</t>
  </si>
  <si>
    <t>Good lay coach.</t>
  </si>
  <si>
    <t>Expect win stuff realize project.</t>
  </si>
  <si>
    <t>Draw american first.</t>
  </si>
  <si>
    <t>Employee continue none alone.</t>
  </si>
  <si>
    <t>Challenge large wish move.</t>
  </si>
  <si>
    <t>Identify material.</t>
  </si>
  <si>
    <t>Until choose wife national.</t>
  </si>
  <si>
    <t>Positive far time wide.</t>
  </si>
  <si>
    <t>Son rock two.</t>
  </si>
  <si>
    <t>Rule too.</t>
  </si>
  <si>
    <t>Bring agent pay detail group.</t>
  </si>
  <si>
    <t>Part crime.</t>
  </si>
  <si>
    <t>Sit short cultural.</t>
  </si>
  <si>
    <t>Support quality whatever wish hour.</t>
  </si>
  <si>
    <t>Owner memory argue project.</t>
  </si>
  <si>
    <t>Respond into history.</t>
  </si>
  <si>
    <t>General final knowledge.</t>
  </si>
  <si>
    <t>Democratic thousand.</t>
  </si>
  <si>
    <t>Eye south wife interest.</t>
  </si>
  <si>
    <t>Structure our century.</t>
  </si>
  <si>
    <t>Write moment friend value.</t>
  </si>
  <si>
    <t>According police.</t>
  </si>
  <si>
    <t>Company left nothing trip.</t>
  </si>
  <si>
    <t>Strategy face make.</t>
  </si>
  <si>
    <t>Fight nice less agree able.</t>
  </si>
  <si>
    <t>What strong line.</t>
  </si>
  <si>
    <t>Conference trade population agreement.</t>
  </si>
  <si>
    <t>Yes at seat ok.</t>
  </si>
  <si>
    <t>Than physical live reason.</t>
  </si>
  <si>
    <t>Mention offer suddenly clear.</t>
  </si>
  <si>
    <t>Floor there career.</t>
  </si>
  <si>
    <t>Evening information.</t>
  </si>
  <si>
    <t>Face morning.</t>
  </si>
  <si>
    <t>Create physical share out cold.</t>
  </si>
  <si>
    <t>Step rate feeling rate.</t>
  </si>
  <si>
    <t>Move goal.</t>
  </si>
  <si>
    <t>Carry example.</t>
  </si>
  <si>
    <t>Future treat bill choice.</t>
  </si>
  <si>
    <t>Somebody next ready.</t>
  </si>
  <si>
    <t>Republican reduce sort individual trouble.</t>
  </si>
  <si>
    <t>Type look find.</t>
  </si>
  <si>
    <t>Stage threat our.</t>
  </si>
  <si>
    <t>Report agreement sport.</t>
  </si>
  <si>
    <t>Task central dinner.</t>
  </si>
  <si>
    <t>Candidate bad real.</t>
  </si>
  <si>
    <t>Affect machine.</t>
  </si>
  <si>
    <t>Cultural allow.</t>
  </si>
  <si>
    <t>Arrive budget education at property.</t>
  </si>
  <si>
    <t>Turn day top.</t>
  </si>
  <si>
    <t>Ahead certainly second everyone.</t>
  </si>
  <si>
    <t>Goal talk sit party.</t>
  </si>
  <si>
    <t>Attention standard shake more respond.</t>
  </si>
  <si>
    <t>Top mr wind.</t>
  </si>
  <si>
    <t>Turn surface listen.</t>
  </si>
  <si>
    <t>Pull blue strong wonder.</t>
  </si>
  <si>
    <t>Method imagine seven.</t>
  </si>
  <si>
    <t>Letter mind many.</t>
  </si>
  <si>
    <t>News american foreign.</t>
  </si>
  <si>
    <t>Exist outside find wish.</t>
  </si>
  <si>
    <t>Network fact talk.</t>
  </si>
  <si>
    <t>Thus sort.</t>
  </si>
  <si>
    <t>Actually purpose public.</t>
  </si>
  <si>
    <t>Mission put budget house.</t>
  </si>
  <si>
    <t>Ask window full.</t>
  </si>
  <si>
    <t>Do interesting material.</t>
  </si>
  <si>
    <t>Event smile popular hundred live.</t>
  </si>
  <si>
    <t>Memory challenge lawyer business.</t>
  </si>
  <si>
    <t>Discuss wall ahead scene.</t>
  </si>
  <si>
    <t>Question will him quickly.</t>
  </si>
  <si>
    <t>Perform benefit baby.</t>
  </si>
  <si>
    <t>Society dark product make.</t>
  </si>
  <si>
    <t>Gas teacher national weight all.</t>
  </si>
  <si>
    <t>Himself fire heavy.</t>
  </si>
  <si>
    <t>Allow news.</t>
  </si>
  <si>
    <t>Man care resource.</t>
  </si>
  <si>
    <t>Notice make.</t>
  </si>
  <si>
    <t>Occur live take media hot.</t>
  </si>
  <si>
    <t>Wife pay good within fly.</t>
  </si>
  <si>
    <t>And student give score agree.</t>
  </si>
  <si>
    <t>Best generation group goal.</t>
  </si>
  <si>
    <t>Doctor fine be.</t>
  </si>
  <si>
    <t>Boy college mrs.</t>
  </si>
  <si>
    <t>Price institution method inside.</t>
  </si>
  <si>
    <t>Onto worry help hope.</t>
  </si>
  <si>
    <t>Space beyond.</t>
  </si>
  <si>
    <t>Market specific property coach.</t>
  </si>
  <si>
    <t>Wide cut player wind.</t>
  </si>
  <si>
    <t>Degree enter father of source.</t>
  </si>
  <si>
    <t>Behind front attack song little.</t>
  </si>
  <si>
    <t>Somebody prepare few sound.</t>
  </si>
  <si>
    <t>Finish increase economy middle public.</t>
  </si>
  <si>
    <t>Thing physical might.</t>
  </si>
  <si>
    <t>Material produce station visit environmental.</t>
  </si>
  <si>
    <t>Table trade various risk art.</t>
  </si>
  <si>
    <t>Leg drive second she.</t>
  </si>
  <si>
    <t>Five store ask data.</t>
  </si>
  <si>
    <t>Statement position either.</t>
  </si>
  <si>
    <t>Draw change agree someone.</t>
  </si>
  <si>
    <t>Magazine yard instead town.</t>
  </si>
  <si>
    <t>Evening ahead smile.</t>
  </si>
  <si>
    <t>Compare system white magazine after.</t>
  </si>
  <si>
    <t>Own test too imagine.</t>
  </si>
  <si>
    <t>However style.</t>
  </si>
  <si>
    <t>Born same usually.</t>
  </si>
  <si>
    <t>Wear use edge this draw.</t>
  </si>
  <si>
    <t>Forget once hope security.</t>
  </si>
  <si>
    <t>Design blood degree ever.</t>
  </si>
  <si>
    <t>Television argue mouth.</t>
  </si>
  <si>
    <t>Nation little east everyone.</t>
  </si>
  <si>
    <t>Little happy final population.</t>
  </si>
  <si>
    <t>Real small.</t>
  </si>
  <si>
    <t>Need finally when.</t>
  </si>
  <si>
    <t>Movement door kind.</t>
  </si>
  <si>
    <t>Until truth feeling view.</t>
  </si>
  <si>
    <t>Decision three trouble.</t>
  </si>
  <si>
    <t>Smile ever bag single.</t>
  </si>
  <si>
    <t>Say unit four institution.</t>
  </si>
  <si>
    <t>Recognize media goal.</t>
  </si>
  <si>
    <t>Law agree appear political.</t>
  </si>
  <si>
    <t>Able customer figure.</t>
  </si>
  <si>
    <t>Book economic.</t>
  </si>
  <si>
    <t>Rate society floor long same.</t>
  </si>
  <si>
    <t>Reach step son.</t>
  </si>
  <si>
    <t>Increase consider.</t>
  </si>
  <si>
    <t>Difference way type positive phone.</t>
  </si>
  <si>
    <t>Cup red collection husband.</t>
  </si>
  <si>
    <t>Employee become happy water bring.</t>
  </si>
  <si>
    <t>Significant up still management.</t>
  </si>
  <si>
    <t>Course technology site.</t>
  </si>
  <si>
    <t>High issue deal democratic.</t>
  </si>
  <si>
    <t>Industry impact certainly.</t>
  </si>
  <si>
    <t>Dog late eat.</t>
  </si>
  <si>
    <t>Beat light the window.</t>
  </si>
  <si>
    <t>Require remain save.</t>
  </si>
  <si>
    <t>Believe arrive.</t>
  </si>
  <si>
    <t>Likely great paper.</t>
  </si>
  <si>
    <t>Effect people.</t>
  </si>
  <si>
    <t>Provide car throughout american.</t>
  </si>
  <si>
    <t>College manage fund.</t>
  </si>
  <si>
    <t>Bed report item.</t>
  </si>
  <si>
    <t>Finish without.</t>
  </si>
  <si>
    <t>Security unit executive.</t>
  </si>
  <si>
    <t>Stop unit might job close.</t>
  </si>
  <si>
    <t>New type pm.</t>
  </si>
  <si>
    <t>Country approach.</t>
  </si>
  <si>
    <t>Like clear.</t>
  </si>
  <si>
    <t>Break time manager kid.</t>
  </si>
  <si>
    <t>Leader both rest challenge.</t>
  </si>
  <si>
    <t>Data exist.</t>
  </si>
  <si>
    <t>State none production defense your.</t>
  </si>
  <si>
    <t>Short congress turn east marriage.</t>
  </si>
  <si>
    <t>Ago race quite hour.</t>
  </si>
  <si>
    <t>Child ball store process.</t>
  </si>
  <si>
    <t>Western order accept wide prevent.</t>
  </si>
  <si>
    <t>Water yourself trade someone.</t>
  </si>
  <si>
    <t>Tell soon executive.</t>
  </si>
  <si>
    <t>Natural own.</t>
  </si>
  <si>
    <t>Effort drive side human.</t>
  </si>
  <si>
    <t>Clear single expect.</t>
  </si>
  <si>
    <t>Fear song save.</t>
  </si>
  <si>
    <t>Capital program story mention majority.</t>
  </si>
  <si>
    <t>Environmental outside bed institution.</t>
  </si>
  <si>
    <t>Control piece behavior message wind.</t>
  </si>
  <si>
    <t>Us money positive.</t>
  </si>
  <si>
    <t>Life bad soon.</t>
  </si>
  <si>
    <t>Worker range feel.</t>
  </si>
  <si>
    <t>Into notice necessary true message.</t>
  </si>
  <si>
    <t>Including let result spend.</t>
  </si>
  <si>
    <t>One shoulder administration.</t>
  </si>
  <si>
    <t>Skill successful and.</t>
  </si>
  <si>
    <t>Finish right serious.</t>
  </si>
  <si>
    <t>Space game truth special decision.</t>
  </si>
  <si>
    <t>Else pull its adult house.</t>
  </si>
  <si>
    <t>Pretty least if.</t>
  </si>
  <si>
    <t>Peace wind guess.</t>
  </si>
  <si>
    <t>Because career course.</t>
  </si>
  <si>
    <t>Teacher decide possible.</t>
  </si>
  <si>
    <t>Success teach mrs beat.</t>
  </si>
  <si>
    <t>Listen against coach.</t>
  </si>
  <si>
    <t>White likely teacher one.</t>
  </si>
  <si>
    <t>Notice street anything.</t>
  </si>
  <si>
    <t>Piece require.</t>
  </si>
  <si>
    <t>Say other never fact.</t>
  </si>
  <si>
    <t>Main opportunity particularly question.</t>
  </si>
  <si>
    <t>Research month instead.</t>
  </si>
  <si>
    <t>As throughout individual list manager.</t>
  </si>
  <si>
    <t>Recently again explain court.</t>
  </si>
  <si>
    <t>Discussion detail training fund.</t>
  </si>
  <si>
    <t>Third rich hospital.</t>
  </si>
  <si>
    <t>Somebody son suddenly perform.</t>
  </si>
  <si>
    <t>Project can.</t>
  </si>
  <si>
    <t>Paper beyond indeed.</t>
  </si>
  <si>
    <t>Doctor news yourself.</t>
  </si>
  <si>
    <t>Ground city still.</t>
  </si>
  <si>
    <t>Southern front.</t>
  </si>
  <si>
    <t>Dinner no main year size.</t>
  </si>
  <si>
    <t>Environment character real middle prove.</t>
  </si>
  <si>
    <t>Sometimes while sense window.</t>
  </si>
  <si>
    <t>Among black picture that treat.</t>
  </si>
  <si>
    <t>Remain seven marriage.</t>
  </si>
  <si>
    <t>Positive free case.</t>
  </si>
  <si>
    <t>Wide shoulder according strong.</t>
  </si>
  <si>
    <t>Expert commercial entire resource.</t>
  </si>
  <si>
    <t>Picture early send morning.</t>
  </si>
  <si>
    <t>Soon including important.</t>
  </si>
  <si>
    <t>Some gun ahead certainly act.</t>
  </si>
  <si>
    <t>Be fire.</t>
  </si>
  <si>
    <t>Article service produce political.</t>
  </si>
  <si>
    <t>Within woman.</t>
  </si>
  <si>
    <t>Information though red.</t>
  </si>
  <si>
    <t>Training account evidence month.</t>
  </si>
  <si>
    <t>Land day name small.</t>
  </si>
  <si>
    <t>Thought sit identify culture.</t>
  </si>
  <si>
    <t>Already free.</t>
  </si>
  <si>
    <t>Yeah exist behavior necessary miss.</t>
  </si>
  <si>
    <t>Agreement someone.</t>
  </si>
  <si>
    <t>Strategy fight institution.</t>
  </si>
  <si>
    <t>Rule success.</t>
  </si>
  <si>
    <t>Medical buy series walk large.</t>
  </si>
  <si>
    <t>Law work.</t>
  </si>
  <si>
    <t>Research visit program suddenly doctor.</t>
  </si>
  <si>
    <t>Project spring of.</t>
  </si>
  <si>
    <t>Mind easy foreign old.</t>
  </si>
  <si>
    <t>Better republican stock bank.</t>
  </si>
  <si>
    <t>Thousand live land hard.</t>
  </si>
  <si>
    <t>Open million house enough.</t>
  </si>
  <si>
    <t>You ready way rule.</t>
  </si>
  <si>
    <t>Certain camera represent.</t>
  </si>
  <si>
    <t>Tell brother defense list second.</t>
  </si>
  <si>
    <t>Tv budget system book.</t>
  </si>
  <si>
    <t>Face mission brother figure hear.</t>
  </si>
  <si>
    <t>Agreement central six instead.</t>
  </si>
  <si>
    <t>Democratic standard major.</t>
  </si>
  <si>
    <t>Give that individual of not.</t>
  </si>
  <si>
    <t>Little result paper seven.</t>
  </si>
  <si>
    <t>Seven project chance road.</t>
  </si>
  <si>
    <t>Professor important do house must.</t>
  </si>
  <si>
    <t>Position tend religious.</t>
  </si>
  <si>
    <t>Someone religious night buy nice.</t>
  </si>
  <si>
    <t>My serious whatever miss seek.</t>
  </si>
  <si>
    <t>Build view.</t>
  </si>
  <si>
    <t>Ever day.</t>
  </si>
  <si>
    <t>Be move fly open.</t>
  </si>
  <si>
    <t>Future congress.</t>
  </si>
  <si>
    <t>Fish either boy between collection.</t>
  </si>
  <si>
    <t>Eight bed fill.</t>
  </si>
  <si>
    <t>Arrive which consider.</t>
  </si>
  <si>
    <t>Hope floor include.</t>
  </si>
  <si>
    <t>Heart still building.</t>
  </si>
  <si>
    <t>Sell only manage.</t>
  </si>
  <si>
    <t>We especially five network.</t>
  </si>
  <si>
    <t>Ahead plant trial affect.</t>
  </si>
  <si>
    <t>Push east never size fight.</t>
  </si>
  <si>
    <t>Base player data whose.</t>
  </si>
  <si>
    <t>World site mr interest treatment.</t>
  </si>
  <si>
    <t>A let.</t>
  </si>
  <si>
    <t>A value lot.</t>
  </si>
  <si>
    <t>Yourself successful defense subject.</t>
  </si>
  <si>
    <t>Claim move.</t>
  </si>
  <si>
    <t>Bed recognize store.</t>
  </si>
  <si>
    <t>There decision measure.</t>
  </si>
  <si>
    <t>Play woman remain event.</t>
  </si>
  <si>
    <t>Decision where foreign trial.</t>
  </si>
  <si>
    <t>Participant above.</t>
  </si>
  <si>
    <t>Including time reflect.</t>
  </si>
  <si>
    <t>Ball theory prepare much throughout.</t>
  </si>
  <si>
    <t>Good spend still.</t>
  </si>
  <si>
    <t>Concern should recent across.</t>
  </si>
  <si>
    <t>View know develop after.</t>
  </si>
  <si>
    <t>Course staff personal space.</t>
  </si>
  <si>
    <t>Woman whose already.</t>
  </si>
  <si>
    <t>Decide cultural start how thank.</t>
  </si>
  <si>
    <t>Management necessary process not.</t>
  </si>
  <si>
    <t>Assume campaign assume.</t>
  </si>
  <si>
    <t>Talk thing rock ever summer.</t>
  </si>
  <si>
    <t>Pass quite third ability interview.</t>
  </si>
  <si>
    <t>Item yet ever quite.</t>
  </si>
  <si>
    <t>Guess service this different.</t>
  </si>
  <si>
    <t>Mother first hot free.</t>
  </si>
  <si>
    <t>Wrong difficult.</t>
  </si>
  <si>
    <t>True culture.</t>
  </si>
  <si>
    <t>As personal agreement.</t>
  </si>
  <si>
    <t>Or phone.</t>
  </si>
  <si>
    <t>East list when.</t>
  </si>
  <si>
    <t>Mind door authority outside.</t>
  </si>
  <si>
    <t>Personal often.</t>
  </si>
  <si>
    <t>True help.</t>
  </si>
  <si>
    <t>Artist sort area.</t>
  </si>
  <si>
    <t>Big argue.</t>
  </si>
  <si>
    <t>Sure i pay.</t>
  </si>
  <si>
    <t>Ten skin perhaps.</t>
  </si>
  <si>
    <t>Less into per big.</t>
  </si>
  <si>
    <t>Military onto blue activity.</t>
  </si>
  <si>
    <t>Smile cover of pm eight.</t>
  </si>
  <si>
    <t>Right know during someone.</t>
  </si>
  <si>
    <t>Find job where.</t>
  </si>
  <si>
    <t>On must certainly.</t>
  </si>
  <si>
    <t>Owner fact wife.</t>
  </si>
  <si>
    <t>Price certain down standard nice.</t>
  </si>
  <si>
    <t>Gas with policy cut.</t>
  </si>
  <si>
    <t>Country little reality level.</t>
  </si>
  <si>
    <t>Not friend federal forget bit.</t>
  </si>
  <si>
    <t>Detail about development discover.</t>
  </si>
  <si>
    <t>Lose shoulder spring.</t>
  </si>
  <si>
    <t>Hundred step according.</t>
  </si>
  <si>
    <t>Group never.</t>
  </si>
  <si>
    <t>Key place tree.</t>
  </si>
  <si>
    <t>Wish current.</t>
  </si>
  <si>
    <t>Despite energy company.</t>
  </si>
  <si>
    <t>Condition again successful.</t>
  </si>
  <si>
    <t>Story case.</t>
  </si>
  <si>
    <t>Very figure drive special.</t>
  </si>
  <si>
    <t>With young think there assume.</t>
  </si>
  <si>
    <t>Some court her.</t>
  </si>
  <si>
    <t>Outside with each animal.</t>
  </si>
  <si>
    <t>Take family chance.</t>
  </si>
  <si>
    <t>Picture evidence.</t>
  </si>
  <si>
    <t>Why though decide bank likely.</t>
  </si>
  <si>
    <t>Meet seem population.</t>
  </si>
  <si>
    <t>Material less focus hear.</t>
  </si>
  <si>
    <t>Listen ok point so.</t>
  </si>
  <si>
    <t>Detail data tell.</t>
  </si>
  <si>
    <t>Fill thousand number.</t>
  </si>
  <si>
    <t>Nearly care base.</t>
  </si>
  <si>
    <t>Goal once let perform international.</t>
  </si>
  <si>
    <t>Important source first him.</t>
  </si>
  <si>
    <t>Doctor population grow bar.</t>
  </si>
  <si>
    <t>National back everybody direction budget.</t>
  </si>
  <si>
    <t>National free.</t>
  </si>
  <si>
    <t>Few spring raise.</t>
  </si>
  <si>
    <t>Relationship your your.</t>
  </si>
  <si>
    <t>Across federal state.</t>
  </si>
  <si>
    <t>State serious activity pressure.</t>
  </si>
  <si>
    <t>Dinner rich decide do.</t>
  </si>
  <si>
    <t>Serious reveal left social fine.</t>
  </si>
  <si>
    <t>Show recently decide last.</t>
  </si>
  <si>
    <t>Hear officer.</t>
  </si>
  <si>
    <t>Wall act special.</t>
  </si>
  <si>
    <t>Different international sell several.</t>
  </si>
  <si>
    <t>For age size.</t>
  </si>
  <si>
    <t>With yes nothing.</t>
  </si>
  <si>
    <t>Woman daughter hospital move.</t>
  </si>
  <si>
    <t>Board notice later thus.</t>
  </si>
  <si>
    <t>Bit need allow.</t>
  </si>
  <si>
    <t>Cost attorney.</t>
  </si>
  <si>
    <t>Day fact modern.</t>
  </si>
  <si>
    <t>Happy action.</t>
  </si>
  <si>
    <t>Hospital writer can industry.</t>
  </si>
  <si>
    <t>Western tend candidate day.</t>
  </si>
  <si>
    <t>City offer financial data.</t>
  </si>
  <si>
    <t>Cut yard knowledge.</t>
  </si>
  <si>
    <t>Space moment travel these least.</t>
  </si>
  <si>
    <t>Say explain.</t>
  </si>
  <si>
    <t>Red republican father party.</t>
  </si>
  <si>
    <t>Eat tonight run leader.</t>
  </si>
  <si>
    <t>Believe recognize analysis those citizen.</t>
  </si>
  <si>
    <t>Project at risk.</t>
  </si>
  <si>
    <t>In seven building hard.</t>
  </si>
  <si>
    <t>Short for late education.</t>
  </si>
  <si>
    <t>Left available.</t>
  </si>
  <si>
    <t>Gas human create also.</t>
  </si>
  <si>
    <t>Remember carry.</t>
  </si>
  <si>
    <t>Leave bar prevent require.</t>
  </si>
  <si>
    <t>Likely evidence claim.</t>
  </si>
  <si>
    <t>Beyond family movement hospital back.</t>
  </si>
  <si>
    <t>Child group describe.</t>
  </si>
  <si>
    <t>Democratic recent student specific political.</t>
  </si>
  <si>
    <t>Real know our any.</t>
  </si>
  <si>
    <t>Up hear draw.</t>
  </si>
  <si>
    <t>Instead writer.</t>
  </si>
  <si>
    <t>Quite as when.</t>
  </si>
  <si>
    <t>Right analysis mention.</t>
  </si>
  <si>
    <t>No couple debate must.</t>
  </si>
  <si>
    <t>Discussion black follow.</t>
  </si>
  <si>
    <t>Pressure activity defense detail.</t>
  </si>
  <si>
    <t>Month</t>
  </si>
  <si>
    <t>Year</t>
  </si>
  <si>
    <t>Signed_Amount</t>
  </si>
  <si>
    <t>FINANCIAL SUMMARY</t>
  </si>
  <si>
    <t>Total Income</t>
  </si>
  <si>
    <t>Total Expenses</t>
  </si>
  <si>
    <t>Net Savings</t>
  </si>
  <si>
    <t>Savings Rate</t>
  </si>
  <si>
    <t>Total Transactions</t>
  </si>
  <si>
    <t>Average Expense</t>
  </si>
  <si>
    <t>Highest Expense</t>
  </si>
  <si>
    <t>formula</t>
  </si>
  <si>
    <t>Row Labels</t>
  </si>
  <si>
    <t>Grand Total</t>
  </si>
  <si>
    <t>Sum of Amount</t>
  </si>
  <si>
    <t>Jan</t>
  </si>
  <si>
    <t>Feb</t>
  </si>
  <si>
    <t>Mar</t>
  </si>
  <si>
    <t>Apr</t>
  </si>
  <si>
    <t>May</t>
  </si>
  <si>
    <t>Jun</t>
  </si>
  <si>
    <t>Jul</t>
  </si>
  <si>
    <t>Aug</t>
  </si>
  <si>
    <t>Sep</t>
  </si>
  <si>
    <t>Oct</t>
  </si>
  <si>
    <t>Nov</t>
  </si>
  <si>
    <t>Dec</t>
  </si>
  <si>
    <t>Column Labels</t>
  </si>
  <si>
    <t>PERSONAL FINANCE &amp; BUDGET ANALYSIS DASHBOARD</t>
  </si>
  <si>
    <t>TOTAL INCOME        TOTAL EXPENSES        NET SAVINGS        SAVINGS RATE</t>
  </si>
  <si>
    <t xml:space="preserve">              MONTHLY INCOME VS EXPENSE</t>
  </si>
  <si>
    <r>
      <t xml:space="preserve">              </t>
    </r>
    <r>
      <rPr>
        <b/>
        <sz val="28"/>
        <color theme="4"/>
        <rFont val="Calibri"/>
        <family val="2"/>
        <scheme val="minor"/>
      </rPr>
      <t>EXPENSE BY CATEGORY</t>
    </r>
  </si>
  <si>
    <t>MONTHLY INCOME VS EXPENSE</t>
  </si>
  <si>
    <t>Problem Statement — Personal Finance &amp; Budget Analysis</t>
  </si>
  <si>
    <t>Problem Statement:</t>
  </si>
  <si>
    <t>onth</t>
  </si>
  <si>
    <t>Managing personal finances can be challenging when transaction data is available only in raw form. Without proper analysis, it is difficult to understand total income, spending levels, savings, major expense categories, and how income and expenses vary from month to month.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</si>
</sst>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28"/>
      <color theme="4"/>
      <name val="Calibri"/>
      <family val="2"/>
      <scheme val="minor"/>
    </font>
    <font>
      <b/>
      <sz val="24"/>
      <color theme="4"/>
      <name val="Calibri"/>
      <family val="2"/>
      <scheme val="minor"/>
    </font>
    <font>
      <b/>
      <sz val="18"/>
      <color theme="1"/>
      <name val="Calibri"/>
      <family val="2"/>
      <scheme val="minor"/>
    </font>
    <font>
      <b/>
      <sz val="20"/>
      <color theme="1"/>
      <name val="Calibri"/>
      <family val="2"/>
      <scheme val="minor"/>
    </font>
    <font>
      <sz val="22"/>
      <color theme="1"/>
      <name val="Calibri"/>
      <family val="2"/>
      <scheme val="minor"/>
    </font>
    <font>
      <sz val="20"/>
      <color theme="1"/>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9"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0">
    <xf numFmtId="0" fontId="0" fillId="0" borderId="0" xfId="0"/>
    <xf numFmtId="14" fontId="0" fillId="0" borderId="0" xfId="0" applyNumberFormat="1"/>
    <xf numFmtId="0" fontId="0" fillId="0" borderId="0" xfId="0" applyAlignment="1">
      <alignment horizontal="center"/>
    </xf>
    <xf numFmtId="0" fontId="0" fillId="0" borderId="0" xfId="0" applyAlignment="1">
      <alignment vertical="center" wrapText="1"/>
    </xf>
    <xf numFmtId="0" fontId="16" fillId="0" borderId="0" xfId="0" applyFont="1" applyAlignment="1">
      <alignment vertical="center" wrapText="1"/>
    </xf>
    <xf numFmtId="9" fontId="0" fillId="0" borderId="0" xfId="1" applyFont="1"/>
    <xf numFmtId="0" fontId="16" fillId="0" borderId="0" xfId="0" applyFont="1" applyAlignment="1">
      <alignment horizontal="center" vertical="center" wrapText="1"/>
    </xf>
    <xf numFmtId="0" fontId="16" fillId="0" borderId="0" xfId="0" applyFont="1" applyAlignment="1">
      <alignment horizontal="left" vertical="center" indent="1"/>
    </xf>
    <xf numFmtId="0" fontId="0" fillId="0" borderId="0" xfId="0" pivotButton="1"/>
    <xf numFmtId="0" fontId="0" fillId="0" borderId="0" xfId="0" applyAlignment="1">
      <alignment horizontal="left"/>
    </xf>
    <xf numFmtId="0" fontId="0" fillId="0" borderId="0" xfId="0" applyAlignment="1">
      <alignment horizontal="left" vertical="center" indent="1"/>
    </xf>
    <xf numFmtId="0" fontId="16" fillId="0" borderId="0" xfId="0" applyFont="1" applyAlignment="1">
      <alignment horizontal="left" vertical="center" indent="2"/>
    </xf>
    <xf numFmtId="0" fontId="18" fillId="0" borderId="0" xfId="0" applyFont="1"/>
    <xf numFmtId="9" fontId="0" fillId="0" borderId="0" xfId="0" applyNumberFormat="1"/>
    <xf numFmtId="0" fontId="19" fillId="0" borderId="0" xfId="0" applyFont="1" applyAlignment="1">
      <alignment horizontal="left"/>
    </xf>
    <xf numFmtId="0" fontId="20" fillId="0" borderId="0" xfId="0" applyFont="1" applyAlignment="1">
      <alignment vertical="center"/>
    </xf>
    <xf numFmtId="0" fontId="21" fillId="0" borderId="0" xfId="0" applyFont="1" applyAlignment="1">
      <alignment horizontal="left" vertical="center" indent="1"/>
    </xf>
    <xf numFmtId="0" fontId="0" fillId="0" borderId="0" xfId="0" applyAlignment="1"/>
    <xf numFmtId="0" fontId="23" fillId="0" borderId="0" xfId="0" applyFont="1" applyAlignment="1"/>
    <xf numFmtId="0" fontId="22" fillId="0" borderId="0" xfId="0" applyFont="1" applyAlignment="1">
      <alignment horizontal="left"/>
    </xf>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Percent" xfId="1" builtinId="5"/>
    <cellStyle name="Title" xfId="2" builtinId="15" customBuiltin="1"/>
    <cellStyle name="Total" xfId="18" builtinId="25" customBuiltin="1"/>
    <cellStyle name="Warning Text" xfId="15" builtinId="11" customBuiltin="1"/>
  </cellStyles>
  <dxfs count="7">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alignment horizontal="general" vertical="center" textRotation="0" wrapText="1" indent="0" justifyLastLine="0" shrinkToFit="0" readingOrder="0"/>
    </dxf>
    <dxf>
      <font>
        <b val="0"/>
        <i val="0"/>
        <strike val="0"/>
        <condense val="0"/>
        <extend val="0"/>
        <outline val="0"/>
        <shadow val="0"/>
        <u val="none"/>
        <vertAlign val="baseline"/>
        <sz val="11"/>
        <color theme="1"/>
        <name val="Calibri"/>
        <family val="2"/>
        <scheme val="minor"/>
      </font>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[Personal_financial_data_.xlsx]category_Analysis!PivotTable26</c:name>
    <c:fmtId val="0"/>
  </c:pivotSource>
  <c:chart>
    <c:title>
      <c:tx>
        <c:rich>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r>
              <a:rPr lang="en-IN" b="0" i="0" u="none" strike="noStrike" baseline="0">
                <a:effectLst/>
              </a:rPr>
              <a:t>Expense by Category</a:t>
            </a:r>
          </a:p>
        </c:rich>
      </c:tx>
      <c:overlay val="0"/>
      <c:spPr>
        <a:noFill/>
        <a:ln>
          <a:noFill/>
        </a:ln>
        <a:effectLst/>
      </c:spPr>
      <c:txPr>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endParaRPr lang="en-US"/>
        </a:p>
      </c:txPr>
    </c:title>
    <c:autoTitleDeleted val="0"/>
    <c:pivotFmts>
      <c:pivotFmt>
        <c:idx val="0"/>
        <c:spPr>
          <a:gradFill>
            <a:gsLst>
              <a:gs pos="0">
                <a:schemeClr val="accent2"/>
              </a:gs>
              <a:gs pos="100000">
                <a:schemeClr val="accent2">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category_Analysis!$B$3</c:f>
              <c:strCache>
                <c:ptCount val="1"/>
                <c:pt idx="0">
                  <c:v>Total</c:v>
                </c:pt>
              </c:strCache>
            </c:strRef>
          </c:tx>
          <c:spPr>
            <a:gradFill>
              <a:gsLst>
                <a:gs pos="0">
                  <a:schemeClr val="accent2"/>
                </a:gs>
                <a:gs pos="100000">
                  <a:schemeClr val="accent2">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category_Analysis!$A$4:$A$12</c:f>
              <c:strCache>
                <c:ptCount val="8"/>
                <c:pt idx="0">
                  <c:v>Travel</c:v>
                </c:pt>
                <c:pt idx="1">
                  <c:v>Rent</c:v>
                </c:pt>
                <c:pt idx="2">
                  <c:v>Food &amp; Drink</c:v>
                </c:pt>
                <c:pt idx="3">
                  <c:v>Salary</c:v>
                </c:pt>
                <c:pt idx="4">
                  <c:v>Entertainment</c:v>
                </c:pt>
                <c:pt idx="5">
                  <c:v>Shopping</c:v>
                </c:pt>
                <c:pt idx="6">
                  <c:v>Utilities</c:v>
                </c:pt>
                <c:pt idx="7">
                  <c:v>Health &amp; Fitness</c:v>
                </c:pt>
              </c:strCache>
            </c:strRef>
          </c:cat>
          <c:val>
            <c:numRef>
              <c:f>category_Analysis!$B$4:$B$12</c:f>
              <c:numCache>
                <c:formatCode>General</c:formatCode>
                <c:ptCount val="8"/>
                <c:pt idx="0">
                  <c:v>169497.78999999998</c:v>
                </c:pt>
                <c:pt idx="1">
                  <c:v>162075.38999999987</c:v>
                </c:pt>
                <c:pt idx="2">
                  <c:v>159493.39000000001</c:v>
                </c:pt>
                <c:pt idx="3">
                  <c:v>149053.55000000002</c:v>
                </c:pt>
                <c:pt idx="4">
                  <c:v>148165.46999999997</c:v>
                </c:pt>
                <c:pt idx="5">
                  <c:v>146880.75000000003</c:v>
                </c:pt>
                <c:pt idx="6">
                  <c:v>146833.97000000003</c:v>
                </c:pt>
                <c:pt idx="7">
                  <c:v>145194.06</c:v>
                </c:pt>
              </c:numCache>
            </c:numRef>
          </c:val>
          <c:extLst>
            <c:ext xmlns:c16="http://schemas.microsoft.com/office/drawing/2014/chart" uri="{C3380CC4-5D6E-409C-BE32-E72D297353CC}">
              <c16:uniqueId val="{00000000-2D03-44C6-B1BB-71B75D03EFD6}"/>
            </c:ext>
          </c:extLst>
        </c:ser>
        <c:dLbls>
          <c:dLblPos val="inEnd"/>
          <c:showLegendKey val="0"/>
          <c:showVal val="1"/>
          <c:showCatName val="0"/>
          <c:showSerName val="0"/>
          <c:showPercent val="0"/>
          <c:showBubbleSize val="0"/>
        </c:dLbls>
        <c:gapWidth val="41"/>
        <c:axId val="889375903"/>
        <c:axId val="703197327"/>
      </c:barChart>
      <c:catAx>
        <c:axId val="88937590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n-US"/>
          </a:p>
        </c:txPr>
        <c:crossAx val="703197327"/>
        <c:crosses val="autoZero"/>
        <c:auto val="1"/>
        <c:lblAlgn val="ctr"/>
        <c:lblOffset val="100"/>
        <c:noMultiLvlLbl val="0"/>
      </c:catAx>
      <c:valAx>
        <c:axId val="703197327"/>
        <c:scaling>
          <c:orientation val="minMax"/>
        </c:scaling>
        <c:delete val="1"/>
        <c:axPos val="l"/>
        <c:numFmt formatCode="General" sourceLinked="1"/>
        <c:majorTickMark val="none"/>
        <c:minorTickMark val="none"/>
        <c:tickLblPos val="nextTo"/>
        <c:crossAx val="8893759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[Personal_financial_data_.xlsx]Monthly Analysis!PivotTable27</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sz="1600" b="1" i="0" u="none" strike="noStrike" baseline="0"/>
              <a:t>Monthly Income vs Expense</a:t>
            </a:r>
            <a:endParaRPr lang="en-IN"/>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IN"/>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'Monthly Analysis'!$B$3:$B$4</c:f>
              <c:strCache>
                <c:ptCount val="1"/>
                <c:pt idx="0">
                  <c:v>Expense</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'Monthly Analysis'!$A$5:$A$17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 Analysis'!$B$5:$B$17</c:f>
              <c:numCache>
                <c:formatCode>General</c:formatCode>
                <c:ptCount val="12"/>
                <c:pt idx="0">
                  <c:v>112418.85000000006</c:v>
                </c:pt>
                <c:pt idx="1">
                  <c:v>97753.660000000033</c:v>
                </c:pt>
                <c:pt idx="2">
                  <c:v>100698.45000000003</c:v>
                </c:pt>
                <c:pt idx="3">
                  <c:v>92945.590000000011</c:v>
                </c:pt>
                <c:pt idx="4">
                  <c:v>105815.38999999994</c:v>
                </c:pt>
                <c:pt idx="5">
                  <c:v>111000.97000000003</c:v>
                </c:pt>
                <c:pt idx="6">
                  <c:v>116178.50000000001</c:v>
                </c:pt>
                <c:pt idx="7">
                  <c:v>110513.11</c:v>
                </c:pt>
                <c:pt idx="8">
                  <c:v>102735.48999999999</c:v>
                </c:pt>
                <c:pt idx="9">
                  <c:v>88660.279999999984</c:v>
                </c:pt>
                <c:pt idx="10">
                  <c:v>107009.74999999996</c:v>
                </c:pt>
                <c:pt idx="11">
                  <c:v>81464.33</c:v>
                </c:pt>
              </c:numCache>
            </c:numRef>
          </c:val>
          <c:extLst>
            <c:ext xmlns:c16="http://schemas.microsoft.com/office/drawing/2014/chart" uri="{C3380CC4-5D6E-409C-BE32-E72D297353CC}">
              <c16:uniqueId val="{00000000-9F99-4126-BEDD-876A453B9A6B}"/>
            </c:ext>
          </c:extLst>
        </c:ser>
        <c:ser>
          <c:idx val="1"/>
          <c:order val="1"/>
          <c:tx>
            <c:strRef>
              <c:f>'Monthly Analysis'!$C$3:$C$4</c:f>
              <c:strCache>
                <c:ptCount val="1"/>
                <c:pt idx="0">
                  <c:v>Income</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'Monthly Analysis'!$A$5:$A$17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 Analysis'!$C$5:$C$17</c:f>
              <c:numCache>
                <c:formatCode>General</c:formatCode>
                <c:ptCount val="12"/>
                <c:pt idx="0">
                  <c:v>79014</c:v>
                </c:pt>
                <c:pt idx="1">
                  <c:v>70677</c:v>
                </c:pt>
                <c:pt idx="2">
                  <c:v>87635</c:v>
                </c:pt>
                <c:pt idx="3">
                  <c:v>45844</c:v>
                </c:pt>
                <c:pt idx="4">
                  <c:v>48226</c:v>
                </c:pt>
                <c:pt idx="5">
                  <c:v>51090</c:v>
                </c:pt>
                <c:pt idx="6">
                  <c:v>57628</c:v>
                </c:pt>
                <c:pt idx="7">
                  <c:v>51627</c:v>
                </c:pt>
                <c:pt idx="8">
                  <c:v>65727</c:v>
                </c:pt>
                <c:pt idx="9">
                  <c:v>63294</c:v>
                </c:pt>
                <c:pt idx="10">
                  <c:v>64948</c:v>
                </c:pt>
                <c:pt idx="11">
                  <c:v>48377</c:v>
                </c:pt>
              </c:numCache>
            </c:numRef>
          </c:val>
          <c:extLst>
            <c:ext xmlns:c16="http://schemas.microsoft.com/office/drawing/2014/chart" uri="{C3380CC4-5D6E-409C-BE32-E72D297353CC}">
              <c16:uniqueId val="{00000001-9F99-4126-BEDD-876A453B9A6B}"/>
            </c:ext>
          </c:extLst>
        </c:ser>
        <c:dLbls>
          <c:showLegendKey val="0"/>
          <c:showVal val="0"/>
          <c:showCatName val="0"/>
          <c:showSerName val="0"/>
          <c:showPercent val="0"/>
          <c:showBubbleSize val="0"/>
        </c:dLbls>
        <c:gapWidth val="150"/>
        <c:overlap val="100"/>
        <c:axId val="785901791"/>
        <c:axId val="703090767"/>
      </c:barChart>
      <c:catAx>
        <c:axId val="785901791"/>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3090767"/>
        <c:crosses val="autoZero"/>
        <c:auto val="1"/>
        <c:lblAlgn val="ctr"/>
        <c:lblOffset val="100"/>
        <c:noMultiLvlLbl val="0"/>
      </c:catAx>
      <c:valAx>
        <c:axId val="7030907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59017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[Personal_financial_data_.xlsx]category_Analysis!PivotTable26</c:name>
    <c:fmtId val="6"/>
  </c:pivotSource>
  <c:chart>
    <c:title>
      <c:tx>
        <c:rich>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r>
              <a:rPr lang="en-IN" b="0" i="0" u="none" strike="noStrike" baseline="0">
                <a:effectLst/>
              </a:rPr>
              <a:t>Expense by Category</a:t>
            </a:r>
          </a:p>
        </c:rich>
      </c:tx>
      <c:overlay val="0"/>
      <c:spPr>
        <a:noFill/>
        <a:ln>
          <a:noFill/>
        </a:ln>
        <a:effectLst/>
      </c:spPr>
      <c:txPr>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endParaRPr lang="en-US"/>
        </a:p>
      </c:txPr>
    </c:title>
    <c:autoTitleDeleted val="0"/>
    <c:pivotFmts>
      <c:pivotFmt>
        <c:idx val="0"/>
        <c:spPr>
          <a:gradFill>
            <a:gsLst>
              <a:gs pos="0">
                <a:schemeClr val="accent2"/>
              </a:gs>
              <a:gs pos="100000">
                <a:schemeClr val="accent2">
                  <a:lumMod val="84000"/>
                </a:schemeClr>
              </a:gs>
            </a:gsLst>
            <a:lin ang="5400000" scaled="1"/>
          </a:gradFill>
          <a:ln>
            <a:noFill/>
          </a:ln>
          <a:effectLst>
            <a:outerShdw blurRad="76200" dir="18900000" sy="23000" kx="-1200000" algn="bl" rotWithShape="0">
              <a:prstClr val="black">
                <a:alpha val="20000"/>
              </a:prstClr>
            </a:outerShdw>
          </a:effectLst>
        </c:spPr>
        <c:marker>
          <c:symbol val="circle"/>
          <c:size val="6"/>
          <c:spPr>
            <a:gradFill>
              <a:gsLst>
                <a:gs pos="0">
                  <a:schemeClr val="accent2"/>
                </a:gs>
                <a:gs pos="100000">
                  <a:schemeClr val="accent2">
                    <a:lumMod val="84000"/>
                  </a:schemeClr>
                </a:gs>
              </a:gsLst>
              <a:lin ang="5400000" scaled="1"/>
            </a:gradFill>
            <a:ln>
              <a:noFill/>
            </a:ln>
            <a:effectLst>
              <a:outerShdw blurRad="76200" dir="18900000" sy="23000" kx="-1200000" algn="bl" rotWithShape="0">
                <a:prstClr val="black">
                  <a:alpha val="20000"/>
                </a:prst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gradFill>
            <a:gsLst>
              <a:gs pos="0">
                <a:schemeClr val="accent2"/>
              </a:gs>
              <a:gs pos="100000">
                <a:schemeClr val="accent2">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0">
                <a:schemeClr val="accent2"/>
              </a:gs>
              <a:gs pos="100000">
                <a:schemeClr val="accent2">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category_Analysis!$B$3</c:f>
              <c:strCache>
                <c:ptCount val="1"/>
                <c:pt idx="0">
                  <c:v>Total</c:v>
                </c:pt>
              </c:strCache>
            </c:strRef>
          </c:tx>
          <c:spPr>
            <a:gradFill>
              <a:gsLst>
                <a:gs pos="0">
                  <a:schemeClr val="accent2"/>
                </a:gs>
                <a:gs pos="100000">
                  <a:schemeClr val="accent2">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category_Analysis!$A$4:$A$12</c:f>
              <c:strCache>
                <c:ptCount val="8"/>
                <c:pt idx="0">
                  <c:v>Travel</c:v>
                </c:pt>
                <c:pt idx="1">
                  <c:v>Rent</c:v>
                </c:pt>
                <c:pt idx="2">
                  <c:v>Food &amp; Drink</c:v>
                </c:pt>
                <c:pt idx="3">
                  <c:v>Salary</c:v>
                </c:pt>
                <c:pt idx="4">
                  <c:v>Entertainment</c:v>
                </c:pt>
                <c:pt idx="5">
                  <c:v>Shopping</c:v>
                </c:pt>
                <c:pt idx="6">
                  <c:v>Utilities</c:v>
                </c:pt>
                <c:pt idx="7">
                  <c:v>Health &amp; Fitness</c:v>
                </c:pt>
              </c:strCache>
            </c:strRef>
          </c:cat>
          <c:val>
            <c:numRef>
              <c:f>category_Analysis!$B$4:$B$12</c:f>
              <c:numCache>
                <c:formatCode>General</c:formatCode>
                <c:ptCount val="8"/>
                <c:pt idx="0">
                  <c:v>169497.78999999998</c:v>
                </c:pt>
                <c:pt idx="1">
                  <c:v>162075.38999999987</c:v>
                </c:pt>
                <c:pt idx="2">
                  <c:v>159493.39000000001</c:v>
                </c:pt>
                <c:pt idx="3">
                  <c:v>149053.55000000002</c:v>
                </c:pt>
                <c:pt idx="4">
                  <c:v>148165.46999999997</c:v>
                </c:pt>
                <c:pt idx="5">
                  <c:v>146880.75000000003</c:v>
                </c:pt>
                <c:pt idx="6">
                  <c:v>146833.97000000003</c:v>
                </c:pt>
                <c:pt idx="7">
                  <c:v>145194.06</c:v>
                </c:pt>
              </c:numCache>
            </c:numRef>
          </c:val>
          <c:extLst>
            <c:ext xmlns:c16="http://schemas.microsoft.com/office/drawing/2014/chart" uri="{C3380CC4-5D6E-409C-BE32-E72D297353CC}">
              <c16:uniqueId val="{00000000-4CA8-44D1-8313-D458F3970956}"/>
            </c:ext>
          </c:extLst>
        </c:ser>
        <c:dLbls>
          <c:dLblPos val="inEnd"/>
          <c:showLegendKey val="0"/>
          <c:showVal val="1"/>
          <c:showCatName val="0"/>
          <c:showSerName val="0"/>
          <c:showPercent val="0"/>
          <c:showBubbleSize val="0"/>
        </c:dLbls>
        <c:gapWidth val="41"/>
        <c:axId val="889375903"/>
        <c:axId val="703197327"/>
      </c:barChart>
      <c:catAx>
        <c:axId val="88937590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n-US"/>
          </a:p>
        </c:txPr>
        <c:crossAx val="703197327"/>
        <c:crosses val="autoZero"/>
        <c:auto val="1"/>
        <c:lblAlgn val="ctr"/>
        <c:lblOffset val="100"/>
        <c:noMultiLvlLbl val="0"/>
      </c:catAx>
      <c:valAx>
        <c:axId val="703197327"/>
        <c:scaling>
          <c:orientation val="minMax"/>
        </c:scaling>
        <c:delete val="1"/>
        <c:axPos val="l"/>
        <c:numFmt formatCode="General" sourceLinked="1"/>
        <c:majorTickMark val="none"/>
        <c:minorTickMark val="none"/>
        <c:tickLblPos val="nextTo"/>
        <c:crossAx val="8893759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[Personal_financial_data_.xlsx]Monthly Analysis!PivotTable27</c:name>
    <c:fmtId val="4"/>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sz="1600" b="1" i="0" u="none" strike="noStrike" baseline="0"/>
              <a:t>Monthly Income vs Expense</a:t>
            </a:r>
            <a:endParaRPr lang="en-IN"/>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IN"/>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'Monthly Analysis'!$B$3:$B$4</c:f>
              <c:strCache>
                <c:ptCount val="1"/>
                <c:pt idx="0">
                  <c:v>Expense</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'Monthly Analysis'!$A$5:$A$17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 Analysis'!$B$5:$B$17</c:f>
              <c:numCache>
                <c:formatCode>General</c:formatCode>
                <c:ptCount val="12"/>
                <c:pt idx="0">
                  <c:v>112418.85000000006</c:v>
                </c:pt>
                <c:pt idx="1">
                  <c:v>97753.660000000033</c:v>
                </c:pt>
                <c:pt idx="2">
                  <c:v>100698.45000000003</c:v>
                </c:pt>
                <c:pt idx="3">
                  <c:v>92945.590000000011</c:v>
                </c:pt>
                <c:pt idx="4">
                  <c:v>105815.38999999994</c:v>
                </c:pt>
                <c:pt idx="5">
                  <c:v>111000.97000000003</c:v>
                </c:pt>
                <c:pt idx="6">
                  <c:v>116178.50000000001</c:v>
                </c:pt>
                <c:pt idx="7">
                  <c:v>110513.11</c:v>
                </c:pt>
                <c:pt idx="8">
                  <c:v>102735.48999999999</c:v>
                </c:pt>
                <c:pt idx="9">
                  <c:v>88660.279999999984</c:v>
                </c:pt>
                <c:pt idx="10">
                  <c:v>107009.74999999996</c:v>
                </c:pt>
                <c:pt idx="11">
                  <c:v>81464.33</c:v>
                </c:pt>
              </c:numCache>
            </c:numRef>
          </c:val>
          <c:extLst>
            <c:ext xmlns:c16="http://schemas.microsoft.com/office/drawing/2014/chart" uri="{C3380CC4-5D6E-409C-BE32-E72D297353CC}">
              <c16:uniqueId val="{00000000-2C7A-436B-814B-047316358BF8}"/>
            </c:ext>
          </c:extLst>
        </c:ser>
        <c:ser>
          <c:idx val="1"/>
          <c:order val="1"/>
          <c:tx>
            <c:strRef>
              <c:f>'Monthly Analysis'!$C$3:$C$4</c:f>
              <c:strCache>
                <c:ptCount val="1"/>
                <c:pt idx="0">
                  <c:v>Income</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'Monthly Analysis'!$A$5:$A$17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 Analysis'!$C$5:$C$17</c:f>
              <c:numCache>
                <c:formatCode>General</c:formatCode>
                <c:ptCount val="12"/>
                <c:pt idx="0">
                  <c:v>79014</c:v>
                </c:pt>
                <c:pt idx="1">
                  <c:v>70677</c:v>
                </c:pt>
                <c:pt idx="2">
                  <c:v>87635</c:v>
                </c:pt>
                <c:pt idx="3">
                  <c:v>45844</c:v>
                </c:pt>
                <c:pt idx="4">
                  <c:v>48226</c:v>
                </c:pt>
                <c:pt idx="5">
                  <c:v>51090</c:v>
                </c:pt>
                <c:pt idx="6">
                  <c:v>57628</c:v>
                </c:pt>
                <c:pt idx="7">
                  <c:v>51627</c:v>
                </c:pt>
                <c:pt idx="8">
                  <c:v>65727</c:v>
                </c:pt>
                <c:pt idx="9">
                  <c:v>63294</c:v>
                </c:pt>
                <c:pt idx="10">
                  <c:v>64948</c:v>
                </c:pt>
                <c:pt idx="11">
                  <c:v>48377</c:v>
                </c:pt>
              </c:numCache>
            </c:numRef>
          </c:val>
          <c:extLst>
            <c:ext xmlns:c16="http://schemas.microsoft.com/office/drawing/2014/chart" uri="{C3380CC4-5D6E-409C-BE32-E72D297353CC}">
              <c16:uniqueId val="{00000001-2C7A-436B-814B-047316358BF8}"/>
            </c:ext>
          </c:extLst>
        </c:ser>
        <c:dLbls>
          <c:showLegendKey val="0"/>
          <c:showVal val="0"/>
          <c:showCatName val="0"/>
          <c:showSerName val="0"/>
          <c:showPercent val="0"/>
          <c:showBubbleSize val="0"/>
        </c:dLbls>
        <c:gapWidth val="150"/>
        <c:overlap val="100"/>
        <c:axId val="785901791"/>
        <c:axId val="703090767"/>
      </c:barChart>
      <c:catAx>
        <c:axId val="785901791"/>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3090767"/>
        <c:crosses val="autoZero"/>
        <c:auto val="1"/>
        <c:lblAlgn val="ctr"/>
        <c:lblOffset val="100"/>
        <c:noMultiLvlLbl val="0"/>
      </c:catAx>
      <c:valAx>
        <c:axId val="7030907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59017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4.xml"/><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7</xdr:col>
      <xdr:colOff>0</xdr:colOff>
      <xdr:row>6</xdr:row>
      <xdr:rowOff>28575</xdr:rowOff>
    </xdr:from>
    <xdr:to>
      <xdr:col>14</xdr:col>
      <xdr:colOff>304800</xdr:colOff>
      <xdr:row>23</xdr:row>
      <xdr:rowOff>61912</xdr:rowOff>
    </xdr:to>
    <xdr:graphicFrame macro="">
      <xdr:nvGraphicFramePr>
        <xdr:cNvPr id="2" name="Chart 1">
          <a:extLst>
            <a:ext uri="{FF2B5EF4-FFF2-40B4-BE49-F238E27FC236}">
              <a16:creationId xmlns:a16="http://schemas.microsoft.com/office/drawing/2014/main" id="{4441FD44-E028-183F-2AD6-BC039181EDE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409575</xdr:colOff>
      <xdr:row>11</xdr:row>
      <xdr:rowOff>52387</xdr:rowOff>
    </xdr:from>
    <xdr:to>
      <xdr:col>14</xdr:col>
      <xdr:colOff>104775</xdr:colOff>
      <xdr:row>25</xdr:row>
      <xdr:rowOff>128587</xdr:rowOff>
    </xdr:to>
    <xdr:graphicFrame macro="">
      <xdr:nvGraphicFramePr>
        <xdr:cNvPr id="2" name="Chart 1">
          <a:extLst>
            <a:ext uri="{FF2B5EF4-FFF2-40B4-BE49-F238E27FC236}">
              <a16:creationId xmlns:a16="http://schemas.microsoft.com/office/drawing/2014/main" id="{8ED77BAF-D52A-266B-6A76-7DE155C7DCD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104775</xdr:colOff>
      <xdr:row>12</xdr:row>
      <xdr:rowOff>57150</xdr:rowOff>
    </xdr:from>
    <xdr:to>
      <xdr:col>12</xdr:col>
      <xdr:colOff>571500</xdr:colOff>
      <xdr:row>33</xdr:row>
      <xdr:rowOff>66675</xdr:rowOff>
    </xdr:to>
    <xdr:graphicFrame macro="">
      <xdr:nvGraphicFramePr>
        <xdr:cNvPr id="2" name="Chart 1">
          <a:extLst>
            <a:ext uri="{FF2B5EF4-FFF2-40B4-BE49-F238E27FC236}">
              <a16:creationId xmlns:a16="http://schemas.microsoft.com/office/drawing/2014/main" id="{2D74E015-DD2A-4441-9A26-CC40777461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171451</xdr:colOff>
      <xdr:row>12</xdr:row>
      <xdr:rowOff>133350</xdr:rowOff>
    </xdr:from>
    <xdr:to>
      <xdr:col>26</xdr:col>
      <xdr:colOff>85725</xdr:colOff>
      <xdr:row>31</xdr:row>
      <xdr:rowOff>47625</xdr:rowOff>
    </xdr:to>
    <xdr:graphicFrame macro="">
      <xdr:nvGraphicFramePr>
        <xdr:cNvPr id="3" name="Chart 2">
          <a:extLst>
            <a:ext uri="{FF2B5EF4-FFF2-40B4-BE49-F238E27FC236}">
              <a16:creationId xmlns:a16="http://schemas.microsoft.com/office/drawing/2014/main" id="{72B39BCA-341F-440D-97AE-893B3BF167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553066</xdr:colOff>
      <xdr:row>0</xdr:row>
      <xdr:rowOff>0</xdr:rowOff>
    </xdr:from>
    <xdr:to>
      <xdr:col>23</xdr:col>
      <xdr:colOff>389195</xdr:colOff>
      <xdr:row>9</xdr:row>
      <xdr:rowOff>122902</xdr:rowOff>
    </xdr:to>
    <xdr:pic>
      <xdr:nvPicPr>
        <xdr:cNvPr id="5" name="Picture 4">
          <a:extLst>
            <a:ext uri="{FF2B5EF4-FFF2-40B4-BE49-F238E27FC236}">
              <a16:creationId xmlns:a16="http://schemas.microsoft.com/office/drawing/2014/main" id="{F7F6FAE0-062A-194D-447B-87B5E263FA5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53066" y="0"/>
          <a:ext cx="13970000" cy="2079112"/>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 shahira" refreshedDate="46285.080343518515" createdVersion="8" refreshedVersion="8" minRefreshableVersion="3" recordCount="1500" xr:uid="{A5804F7B-6BAD-4A25-8EB8-8806FFD2816B}">
  <cacheSource type="worksheet">
    <worksheetSource name="Table1"/>
  </cacheSource>
  <cacheFields count="8">
    <cacheField name="Date" numFmtId="14">
      <sharedItems containsSemiMixedTypes="0" containsNonDate="0" containsDate="1" containsString="0" minDate="2020-01-02T00:00:00" maxDate="2024-12-30T00:00:00"/>
    </cacheField>
    <cacheField name="Transaction Description" numFmtId="0">
      <sharedItems/>
    </cacheField>
    <cacheField name="Category" numFmtId="0">
      <sharedItems count="10">
        <s v="Food &amp; Drink"/>
        <s v="Utilities"/>
        <s v="Rent"/>
        <s v="Investment"/>
        <s v="Shopping"/>
        <s v="Other"/>
        <s v="Entertainment"/>
        <s v="Health &amp; Fitness"/>
        <s v="Salary"/>
        <s v="Travel"/>
      </sharedItems>
    </cacheField>
    <cacheField name="Amount" numFmtId="0">
      <sharedItems containsSemiMixedTypes="0" containsString="0" containsNumber="1" minValue="14.37" maxValue="4996"/>
    </cacheField>
    <cacheField name="Type" numFmtId="0">
      <sharedItems count="2">
        <s v="Expense"/>
        <s v="Income"/>
      </sharedItems>
    </cacheField>
    <cacheField name="Month" numFmtId="0">
      <sharedItems count="12">
        <s v="Jan"/>
        <s v="Feb"/>
        <s v="Mar"/>
        <s v="Apr"/>
        <s v="May"/>
        <s v="Jun"/>
        <s v="Jul"/>
        <s v="Aug"/>
        <s v="Sep"/>
        <s v="Oct"/>
        <s v="Nov"/>
        <s v="Dec"/>
      </sharedItems>
    </cacheField>
    <cacheField name="Year" numFmtId="0">
      <sharedItems containsSemiMixedTypes="0" containsString="0" containsNumber="1" containsInteger="1" minValue="2020" maxValue="2024"/>
    </cacheField>
    <cacheField name="Signed_Amount" numFmtId="0">
      <sharedItems containsSemiMixedTypes="0" containsString="0" containsNumber="1" minValue="-1999.82" maxValue="4996"/>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00">
  <r>
    <d v="2020-01-02T00:00:00"/>
    <s v="Score each."/>
    <x v="0"/>
    <n v="1485.69"/>
    <x v="0"/>
    <x v="0"/>
    <n v="2020"/>
    <n v="-1485.69"/>
  </r>
  <r>
    <d v="2020-01-02T00:00:00"/>
    <s v="Quality throughout."/>
    <x v="1"/>
    <n v="1475.58"/>
    <x v="0"/>
    <x v="0"/>
    <n v="2020"/>
    <n v="-1475.58"/>
  </r>
  <r>
    <d v="2020-01-04T00:00:00"/>
    <s v="Instead ahead despite measure ago."/>
    <x v="2"/>
    <n v="1185.08"/>
    <x v="0"/>
    <x v="0"/>
    <n v="2020"/>
    <n v="-1185.08"/>
  </r>
  <r>
    <d v="2020-01-05T00:00:00"/>
    <s v="Information last everything thank serve."/>
    <x v="3"/>
    <n v="2291"/>
    <x v="1"/>
    <x v="0"/>
    <n v="2020"/>
    <n v="2291"/>
  </r>
  <r>
    <d v="2020-01-13T00:00:00"/>
    <s v="Future choice whatever from."/>
    <x v="0"/>
    <n v="1126.8800000000001"/>
    <x v="0"/>
    <x v="0"/>
    <n v="2020"/>
    <n v="-1126.8800000000001"/>
  </r>
  <r>
    <d v="2020-01-14T00:00:00"/>
    <s v="Benefit suggest page southern."/>
    <x v="4"/>
    <n v="448.68"/>
    <x v="0"/>
    <x v="0"/>
    <n v="2020"/>
    <n v="-448.68"/>
  </r>
  <r>
    <d v="2020-01-18T00:00:00"/>
    <s v="By two bad fall pick."/>
    <x v="0"/>
    <n v="1520.03"/>
    <x v="0"/>
    <x v="0"/>
    <n v="2020"/>
    <n v="-1520.03"/>
  </r>
  <r>
    <d v="2020-01-19T00:00:00"/>
    <s v="Court attorney product significant world."/>
    <x v="5"/>
    <n v="3287"/>
    <x v="1"/>
    <x v="0"/>
    <n v="2020"/>
    <n v="3287"/>
  </r>
  <r>
    <d v="2020-01-21T00:00:00"/>
    <s v="Herself law."/>
    <x v="6"/>
    <n v="1914.85"/>
    <x v="0"/>
    <x v="0"/>
    <n v="2020"/>
    <n v="-1914.85"/>
  </r>
  <r>
    <d v="2020-01-25T00:00:00"/>
    <s v="Have decide environment."/>
    <x v="2"/>
    <n v="766.06"/>
    <x v="0"/>
    <x v="0"/>
    <n v="2020"/>
    <n v="-766.06"/>
  </r>
  <r>
    <d v="2020-01-25T00:00:00"/>
    <s v="Play move each left establish."/>
    <x v="7"/>
    <n v="1211.4100000000001"/>
    <x v="0"/>
    <x v="0"/>
    <n v="2020"/>
    <n v="-1211.4100000000001"/>
  </r>
  <r>
    <d v="2020-01-26T00:00:00"/>
    <s v="Range successful simply."/>
    <x v="8"/>
    <n v="1077.0899999999999"/>
    <x v="0"/>
    <x v="0"/>
    <n v="2020"/>
    <n v="-1077.0899999999999"/>
  </r>
  <r>
    <d v="2020-01-29T00:00:00"/>
    <s v="Source husband."/>
    <x v="4"/>
    <n v="166.81"/>
    <x v="0"/>
    <x v="0"/>
    <n v="2020"/>
    <n v="-166.81"/>
  </r>
  <r>
    <d v="2020-01-30T00:00:00"/>
    <s v="Tree note responsibility."/>
    <x v="7"/>
    <n v="1158.93"/>
    <x v="0"/>
    <x v="0"/>
    <n v="2020"/>
    <n v="-1158.93"/>
  </r>
  <r>
    <d v="2020-01-31T00:00:00"/>
    <s v="How trip learn enter."/>
    <x v="0"/>
    <n v="1325.91"/>
    <x v="0"/>
    <x v="0"/>
    <n v="2020"/>
    <n v="-1325.91"/>
  </r>
  <r>
    <d v="2020-01-31T00:00:00"/>
    <s v="Much section investment on gun."/>
    <x v="2"/>
    <n v="1712.08"/>
    <x v="0"/>
    <x v="0"/>
    <n v="2020"/>
    <n v="-1712.08"/>
  </r>
  <r>
    <d v="2020-01-31T00:00:00"/>
    <s v="Management sense technology check civil."/>
    <x v="4"/>
    <n v="563.16999999999996"/>
    <x v="0"/>
    <x v="0"/>
    <n v="2020"/>
    <n v="-563.16999999999996"/>
  </r>
  <r>
    <d v="2020-02-02T00:00:00"/>
    <s v="As high you more wife."/>
    <x v="7"/>
    <n v="333.68"/>
    <x v="0"/>
    <x v="1"/>
    <n v="2020"/>
    <n v="-333.68"/>
  </r>
  <r>
    <d v="2020-02-04T00:00:00"/>
    <s v="Race mr."/>
    <x v="9"/>
    <n v="1406.62"/>
    <x v="0"/>
    <x v="1"/>
    <n v="2020"/>
    <n v="-1406.62"/>
  </r>
  <r>
    <d v="2020-02-05T00:00:00"/>
    <s v="Born itself law west."/>
    <x v="2"/>
    <n v="1222.17"/>
    <x v="0"/>
    <x v="1"/>
    <n v="2020"/>
    <n v="-1222.17"/>
  </r>
  <r>
    <d v="2020-02-05T00:00:00"/>
    <s v="Seven medical blood personal."/>
    <x v="3"/>
    <n v="1838"/>
    <x v="1"/>
    <x v="1"/>
    <n v="2020"/>
    <n v="1838"/>
  </r>
  <r>
    <d v="2020-02-07T00:00:00"/>
    <s v="Current hear claim well two."/>
    <x v="9"/>
    <n v="1979.15"/>
    <x v="0"/>
    <x v="1"/>
    <n v="2020"/>
    <n v="-1979.15"/>
  </r>
  <r>
    <d v="2020-02-07T00:00:00"/>
    <s v="Food affect upon these story."/>
    <x v="6"/>
    <n v="1372.38"/>
    <x v="0"/>
    <x v="1"/>
    <n v="2020"/>
    <n v="-1372.38"/>
  </r>
  <r>
    <d v="2020-02-08T00:00:00"/>
    <s v="Around there water."/>
    <x v="0"/>
    <n v="465.81"/>
    <x v="0"/>
    <x v="1"/>
    <n v="2020"/>
    <n v="-465.81"/>
  </r>
  <r>
    <d v="2020-02-08T00:00:00"/>
    <s v="Staff within mouth call."/>
    <x v="5"/>
    <n v="3786"/>
    <x v="1"/>
    <x v="1"/>
    <n v="2020"/>
    <n v="3786"/>
  </r>
  <r>
    <d v="2020-02-09T00:00:00"/>
    <s v="Close month parent who up."/>
    <x v="6"/>
    <n v="1827.14"/>
    <x v="0"/>
    <x v="1"/>
    <n v="2020"/>
    <n v="-1827.14"/>
  </r>
  <r>
    <d v="2020-02-11T00:00:00"/>
    <s v="Human public health."/>
    <x v="7"/>
    <n v="433.13"/>
    <x v="0"/>
    <x v="1"/>
    <n v="2020"/>
    <n v="-433.13"/>
  </r>
  <r>
    <d v="2020-02-13T00:00:00"/>
    <s v="Building different full open."/>
    <x v="8"/>
    <n v="294.31"/>
    <x v="0"/>
    <x v="1"/>
    <n v="2020"/>
    <n v="-294.31"/>
  </r>
  <r>
    <d v="2020-02-15T00:00:00"/>
    <s v="Detail audience piece director town."/>
    <x v="5"/>
    <n v="4009"/>
    <x v="1"/>
    <x v="1"/>
    <n v="2020"/>
    <n v="4009"/>
  </r>
  <r>
    <d v="2020-02-16T00:00:00"/>
    <s v="Method everything."/>
    <x v="4"/>
    <n v="730.37"/>
    <x v="0"/>
    <x v="1"/>
    <n v="2020"/>
    <n v="-730.37"/>
  </r>
  <r>
    <d v="2020-02-16T00:00:00"/>
    <s v="Much rich think."/>
    <x v="1"/>
    <n v="1023.96"/>
    <x v="0"/>
    <x v="1"/>
    <n v="2020"/>
    <n v="-1023.96"/>
  </r>
  <r>
    <d v="2020-02-18T00:00:00"/>
    <s v="Drug list imagine behind."/>
    <x v="3"/>
    <n v="1398"/>
    <x v="1"/>
    <x v="1"/>
    <n v="2020"/>
    <n v="1398"/>
  </r>
  <r>
    <d v="2020-02-19T00:00:00"/>
    <s v="Interest level rock pull."/>
    <x v="3"/>
    <n v="3958"/>
    <x v="1"/>
    <x v="1"/>
    <n v="2020"/>
    <n v="3958"/>
  </r>
  <r>
    <d v="2020-02-20T00:00:00"/>
    <s v="I fund."/>
    <x v="4"/>
    <n v="769.42"/>
    <x v="0"/>
    <x v="1"/>
    <n v="2020"/>
    <n v="-769.42"/>
  </r>
  <r>
    <d v="2020-02-26T00:00:00"/>
    <s v="Court movie cell."/>
    <x v="9"/>
    <n v="1942.45"/>
    <x v="0"/>
    <x v="1"/>
    <n v="2020"/>
    <n v="-1942.45"/>
  </r>
  <r>
    <d v="2020-02-27T00:00:00"/>
    <s v="Leg themselves away."/>
    <x v="0"/>
    <n v="1363.76"/>
    <x v="0"/>
    <x v="1"/>
    <n v="2020"/>
    <n v="-1363.76"/>
  </r>
  <r>
    <d v="2020-02-28T00:00:00"/>
    <s v="Anything yourself."/>
    <x v="5"/>
    <n v="3286"/>
    <x v="1"/>
    <x v="1"/>
    <n v="2020"/>
    <n v="3286"/>
  </r>
  <r>
    <d v="2020-02-28T00:00:00"/>
    <s v="Unit support."/>
    <x v="5"/>
    <n v="1795"/>
    <x v="1"/>
    <x v="1"/>
    <n v="2020"/>
    <n v="1795"/>
  </r>
  <r>
    <d v="2020-02-29T00:00:00"/>
    <s v="Magazine degree husband around."/>
    <x v="9"/>
    <n v="1944.06"/>
    <x v="0"/>
    <x v="1"/>
    <n v="2020"/>
    <n v="-1944.06"/>
  </r>
  <r>
    <d v="2020-03-03T00:00:00"/>
    <s v="World enter."/>
    <x v="2"/>
    <n v="1742.33"/>
    <x v="0"/>
    <x v="2"/>
    <n v="2020"/>
    <n v="-1742.33"/>
  </r>
  <r>
    <d v="2020-03-04T00:00:00"/>
    <s v="Institution whatever yet."/>
    <x v="6"/>
    <n v="314.14999999999998"/>
    <x v="0"/>
    <x v="2"/>
    <n v="2020"/>
    <n v="-314.14999999999998"/>
  </r>
  <r>
    <d v="2020-03-04T00:00:00"/>
    <s v="Choice father why often."/>
    <x v="0"/>
    <n v="1201.9000000000001"/>
    <x v="0"/>
    <x v="2"/>
    <n v="2020"/>
    <n v="-1201.9000000000001"/>
  </r>
  <r>
    <d v="2020-03-09T00:00:00"/>
    <s v="Security arm."/>
    <x v="2"/>
    <n v="1858.91"/>
    <x v="0"/>
    <x v="2"/>
    <n v="2020"/>
    <n v="-1858.91"/>
  </r>
  <r>
    <d v="2020-03-09T00:00:00"/>
    <s v="Me system church whether."/>
    <x v="9"/>
    <n v="486.51"/>
    <x v="0"/>
    <x v="2"/>
    <n v="2020"/>
    <n v="-486.51"/>
  </r>
  <r>
    <d v="2020-03-11T00:00:00"/>
    <s v="Attention attack technology."/>
    <x v="2"/>
    <n v="180.45"/>
    <x v="0"/>
    <x v="2"/>
    <n v="2020"/>
    <n v="-180.45"/>
  </r>
  <r>
    <d v="2020-03-11T00:00:00"/>
    <s v="Walk now often."/>
    <x v="2"/>
    <n v="1956.19"/>
    <x v="0"/>
    <x v="2"/>
    <n v="2020"/>
    <n v="-1956.19"/>
  </r>
  <r>
    <d v="2020-03-12T00:00:00"/>
    <s v="Bank price north first end."/>
    <x v="1"/>
    <n v="265.5"/>
    <x v="0"/>
    <x v="2"/>
    <n v="2020"/>
    <n v="-265.5"/>
  </r>
  <r>
    <d v="2020-03-12T00:00:00"/>
    <s v="Enter capital population."/>
    <x v="1"/>
    <n v="537.46"/>
    <x v="0"/>
    <x v="2"/>
    <n v="2020"/>
    <n v="-537.46"/>
  </r>
  <r>
    <d v="2020-03-14T00:00:00"/>
    <s v="Upon very act perform."/>
    <x v="4"/>
    <n v="1929.08"/>
    <x v="0"/>
    <x v="2"/>
    <n v="2020"/>
    <n v="-1929.08"/>
  </r>
  <r>
    <d v="2020-03-15T00:00:00"/>
    <s v="Available defense."/>
    <x v="6"/>
    <n v="1428.77"/>
    <x v="0"/>
    <x v="2"/>
    <n v="2020"/>
    <n v="-1428.77"/>
  </r>
  <r>
    <d v="2020-03-18T00:00:00"/>
    <s v="Value thing these."/>
    <x v="7"/>
    <n v="881.82"/>
    <x v="0"/>
    <x v="2"/>
    <n v="2020"/>
    <n v="-881.82"/>
  </r>
  <r>
    <d v="2020-03-21T00:00:00"/>
    <s v="Citizen street region."/>
    <x v="2"/>
    <n v="503.33"/>
    <x v="0"/>
    <x v="2"/>
    <n v="2020"/>
    <n v="-503.33"/>
  </r>
  <r>
    <d v="2020-03-23T00:00:00"/>
    <s v="Property never."/>
    <x v="3"/>
    <n v="2385"/>
    <x v="1"/>
    <x v="2"/>
    <n v="2020"/>
    <n v="2385"/>
  </r>
  <r>
    <d v="2020-03-23T00:00:00"/>
    <s v="Enough threat score."/>
    <x v="0"/>
    <n v="151.28"/>
    <x v="0"/>
    <x v="2"/>
    <n v="2020"/>
    <n v="-151.28"/>
  </r>
  <r>
    <d v="2020-03-24T00:00:00"/>
    <s v="Example decision garden."/>
    <x v="6"/>
    <n v="144.13"/>
    <x v="0"/>
    <x v="2"/>
    <n v="2020"/>
    <n v="-144.13"/>
  </r>
  <r>
    <d v="2020-03-28T00:00:00"/>
    <s v="Major town suffer begin."/>
    <x v="5"/>
    <n v="1080"/>
    <x v="1"/>
    <x v="2"/>
    <n v="2020"/>
    <n v="1080"/>
  </r>
  <r>
    <d v="2020-04-01T00:00:00"/>
    <s v="Analysis four capital."/>
    <x v="9"/>
    <n v="1341.27"/>
    <x v="0"/>
    <x v="3"/>
    <n v="2020"/>
    <n v="-1341.27"/>
  </r>
  <r>
    <d v="2020-04-05T00:00:00"/>
    <s v="Scientist necessary into."/>
    <x v="1"/>
    <n v="1449.47"/>
    <x v="0"/>
    <x v="3"/>
    <n v="2020"/>
    <n v="-1449.47"/>
  </r>
  <r>
    <d v="2020-04-06T00:00:00"/>
    <s v="Away third."/>
    <x v="8"/>
    <n v="493.56"/>
    <x v="0"/>
    <x v="3"/>
    <n v="2020"/>
    <n v="-493.56"/>
  </r>
  <r>
    <d v="2020-04-06T00:00:00"/>
    <s v="Along hard need involve among."/>
    <x v="4"/>
    <n v="388.92"/>
    <x v="0"/>
    <x v="3"/>
    <n v="2020"/>
    <n v="-388.92"/>
  </r>
  <r>
    <d v="2020-04-10T00:00:00"/>
    <s v="Together decide."/>
    <x v="5"/>
    <n v="3402"/>
    <x v="1"/>
    <x v="3"/>
    <n v="2020"/>
    <n v="3402"/>
  </r>
  <r>
    <d v="2020-04-17T00:00:00"/>
    <s v="Government nice."/>
    <x v="8"/>
    <n v="1729.04"/>
    <x v="0"/>
    <x v="3"/>
    <n v="2020"/>
    <n v="-1729.04"/>
  </r>
  <r>
    <d v="2020-04-17T00:00:00"/>
    <s v="See understand door class son."/>
    <x v="3"/>
    <n v="996"/>
    <x v="1"/>
    <x v="3"/>
    <n v="2020"/>
    <n v="996"/>
  </r>
  <r>
    <d v="2020-04-18T00:00:00"/>
    <s v="Agent say forward us."/>
    <x v="7"/>
    <n v="1603.18"/>
    <x v="0"/>
    <x v="3"/>
    <n v="2020"/>
    <n v="-1603.18"/>
  </r>
  <r>
    <d v="2020-04-22T00:00:00"/>
    <s v="City red him."/>
    <x v="3"/>
    <n v="2058"/>
    <x v="1"/>
    <x v="3"/>
    <n v="2020"/>
    <n v="2058"/>
  </r>
  <r>
    <d v="2020-04-23T00:00:00"/>
    <s v="Develop staff least figure."/>
    <x v="1"/>
    <n v="849.54"/>
    <x v="0"/>
    <x v="3"/>
    <n v="2020"/>
    <n v="-849.54"/>
  </r>
  <r>
    <d v="2020-04-25T00:00:00"/>
    <s v="Age cover foreign."/>
    <x v="6"/>
    <n v="1750.23"/>
    <x v="0"/>
    <x v="3"/>
    <n v="2020"/>
    <n v="-1750.23"/>
  </r>
  <r>
    <d v="2020-04-26T00:00:00"/>
    <s v="Go meeting quickly."/>
    <x v="3"/>
    <n v="914"/>
    <x v="1"/>
    <x v="3"/>
    <n v="2020"/>
    <n v="914"/>
  </r>
  <r>
    <d v="2020-04-26T00:00:00"/>
    <s v="Voice boy wife condition."/>
    <x v="0"/>
    <n v="1938.3"/>
    <x v="0"/>
    <x v="3"/>
    <n v="2020"/>
    <n v="-1938.3"/>
  </r>
  <r>
    <d v="2020-04-27T00:00:00"/>
    <s v="Board its."/>
    <x v="6"/>
    <n v="340.96"/>
    <x v="0"/>
    <x v="3"/>
    <n v="2020"/>
    <n v="-340.96"/>
  </r>
  <r>
    <d v="2020-04-27T00:00:00"/>
    <s v="Paper memory history office."/>
    <x v="6"/>
    <n v="1730.65"/>
    <x v="0"/>
    <x v="3"/>
    <n v="2020"/>
    <n v="-1730.65"/>
  </r>
  <r>
    <d v="2020-04-29T00:00:00"/>
    <s v="Remember ability."/>
    <x v="1"/>
    <n v="764.16"/>
    <x v="0"/>
    <x v="3"/>
    <n v="2020"/>
    <n v="-764.16"/>
  </r>
  <r>
    <d v="2020-04-30T00:00:00"/>
    <s v="Hair attorney professional."/>
    <x v="9"/>
    <n v="1853.77"/>
    <x v="0"/>
    <x v="3"/>
    <n v="2020"/>
    <n v="-1853.77"/>
  </r>
  <r>
    <d v="2020-05-01T00:00:00"/>
    <s v="Finish summer rest feel finally."/>
    <x v="9"/>
    <n v="851.78"/>
    <x v="0"/>
    <x v="4"/>
    <n v="2020"/>
    <n v="-851.78"/>
  </r>
  <r>
    <d v="2020-05-03T00:00:00"/>
    <s v="I fast camera inside."/>
    <x v="8"/>
    <n v="318.05"/>
    <x v="0"/>
    <x v="4"/>
    <n v="2020"/>
    <n v="-318.05"/>
  </r>
  <r>
    <d v="2020-05-03T00:00:00"/>
    <s v="Past feeling nature."/>
    <x v="0"/>
    <n v="1162.57"/>
    <x v="0"/>
    <x v="4"/>
    <n v="2020"/>
    <n v="-1162.57"/>
  </r>
  <r>
    <d v="2020-05-05T00:00:00"/>
    <s v="Expert involve oil."/>
    <x v="7"/>
    <n v="123.76"/>
    <x v="0"/>
    <x v="4"/>
    <n v="2020"/>
    <n v="-123.76"/>
  </r>
  <r>
    <d v="2020-05-06T00:00:00"/>
    <s v="Kid put memory soldier."/>
    <x v="1"/>
    <n v="123.19"/>
    <x v="0"/>
    <x v="4"/>
    <n v="2020"/>
    <n v="-123.19"/>
  </r>
  <r>
    <d v="2020-05-06T00:00:00"/>
    <s v="Exist professional."/>
    <x v="1"/>
    <n v="146.36000000000001"/>
    <x v="0"/>
    <x v="4"/>
    <n v="2020"/>
    <n v="-146.36000000000001"/>
  </r>
  <r>
    <d v="2020-05-07T00:00:00"/>
    <s v="Stand seem."/>
    <x v="3"/>
    <n v="3807"/>
    <x v="1"/>
    <x v="4"/>
    <n v="2020"/>
    <n v="3807"/>
  </r>
  <r>
    <d v="2020-05-11T00:00:00"/>
    <s v="Southern challenge animal."/>
    <x v="3"/>
    <n v="825"/>
    <x v="1"/>
    <x v="4"/>
    <n v="2020"/>
    <n v="825"/>
  </r>
  <r>
    <d v="2020-05-12T00:00:00"/>
    <s v="Sure authority increase picture create."/>
    <x v="4"/>
    <n v="1318.17"/>
    <x v="0"/>
    <x v="4"/>
    <n v="2020"/>
    <n v="-1318.17"/>
  </r>
  <r>
    <d v="2020-05-13T00:00:00"/>
    <s v="Hundred challenge reach throughout."/>
    <x v="7"/>
    <n v="1870.07"/>
    <x v="0"/>
    <x v="4"/>
    <n v="2020"/>
    <n v="-1870.07"/>
  </r>
  <r>
    <d v="2020-05-14T00:00:00"/>
    <s v="Despite sound receive let."/>
    <x v="7"/>
    <n v="484.99"/>
    <x v="0"/>
    <x v="4"/>
    <n v="2020"/>
    <n v="-484.99"/>
  </r>
  <r>
    <d v="2020-05-15T00:00:00"/>
    <s v="True building card."/>
    <x v="9"/>
    <n v="919.88"/>
    <x v="0"/>
    <x v="4"/>
    <n v="2020"/>
    <n v="-919.88"/>
  </r>
  <r>
    <d v="2020-05-16T00:00:00"/>
    <s v="Write other wear through partner."/>
    <x v="2"/>
    <n v="28.54"/>
    <x v="0"/>
    <x v="4"/>
    <n v="2020"/>
    <n v="-28.54"/>
  </r>
  <r>
    <d v="2020-05-17T00:00:00"/>
    <s v="Store natural today season."/>
    <x v="2"/>
    <n v="155.79"/>
    <x v="0"/>
    <x v="4"/>
    <n v="2020"/>
    <n v="-155.79"/>
  </r>
  <r>
    <d v="2020-05-19T00:00:00"/>
    <s v="Else easy point she."/>
    <x v="9"/>
    <n v="273.58999999999997"/>
    <x v="0"/>
    <x v="4"/>
    <n v="2020"/>
    <n v="-273.58999999999997"/>
  </r>
  <r>
    <d v="2020-05-20T00:00:00"/>
    <s v="Phone ever back experience."/>
    <x v="2"/>
    <n v="1759.75"/>
    <x v="0"/>
    <x v="4"/>
    <n v="2020"/>
    <n v="-1759.75"/>
  </r>
  <r>
    <d v="2020-05-21T00:00:00"/>
    <s v="Floor music catch discuss."/>
    <x v="1"/>
    <n v="881.99"/>
    <x v="0"/>
    <x v="4"/>
    <n v="2020"/>
    <n v="-881.99"/>
  </r>
  <r>
    <d v="2020-05-25T00:00:00"/>
    <s v="Ask imagine my."/>
    <x v="9"/>
    <n v="1227.24"/>
    <x v="0"/>
    <x v="4"/>
    <n v="2020"/>
    <n v="-1227.24"/>
  </r>
  <r>
    <d v="2020-05-27T00:00:00"/>
    <s v="Deal information."/>
    <x v="0"/>
    <n v="1339.05"/>
    <x v="0"/>
    <x v="4"/>
    <n v="2020"/>
    <n v="-1339.05"/>
  </r>
  <r>
    <d v="2020-05-28T00:00:00"/>
    <s v="Task she."/>
    <x v="2"/>
    <n v="1878.47"/>
    <x v="0"/>
    <x v="4"/>
    <n v="2020"/>
    <n v="-1878.47"/>
  </r>
  <r>
    <d v="2020-05-29T00:00:00"/>
    <s v="Accept goal send table."/>
    <x v="3"/>
    <n v="1376"/>
    <x v="1"/>
    <x v="4"/>
    <n v="2020"/>
    <n v="1376"/>
  </r>
  <r>
    <d v="2020-05-30T00:00:00"/>
    <s v="Section national owner determine detail."/>
    <x v="1"/>
    <n v="551.97"/>
    <x v="0"/>
    <x v="4"/>
    <n v="2020"/>
    <n v="-551.97"/>
  </r>
  <r>
    <d v="2020-05-31T00:00:00"/>
    <s v="Ahead from quickly identify."/>
    <x v="7"/>
    <n v="415.16"/>
    <x v="0"/>
    <x v="4"/>
    <n v="2020"/>
    <n v="-415.16"/>
  </r>
  <r>
    <d v="2020-05-31T00:00:00"/>
    <s v="Try wonder move trade."/>
    <x v="9"/>
    <n v="1015.76"/>
    <x v="0"/>
    <x v="4"/>
    <n v="2020"/>
    <n v="-1015.76"/>
  </r>
  <r>
    <d v="2020-06-01T00:00:00"/>
    <s v="Base investment."/>
    <x v="0"/>
    <n v="193.67"/>
    <x v="0"/>
    <x v="5"/>
    <n v="2020"/>
    <n v="-193.67"/>
  </r>
  <r>
    <d v="2020-06-02T00:00:00"/>
    <s v="Anyone here deep."/>
    <x v="9"/>
    <n v="97.73"/>
    <x v="0"/>
    <x v="5"/>
    <n v="2020"/>
    <n v="-97.73"/>
  </r>
  <r>
    <d v="2020-06-05T00:00:00"/>
    <s v="Seven here sell story."/>
    <x v="1"/>
    <n v="1277.8599999999999"/>
    <x v="0"/>
    <x v="5"/>
    <n v="2020"/>
    <n v="-1277.8599999999999"/>
  </r>
  <r>
    <d v="2020-06-06T00:00:00"/>
    <s v="Like see."/>
    <x v="8"/>
    <n v="1107.8399999999999"/>
    <x v="0"/>
    <x v="5"/>
    <n v="2020"/>
    <n v="-1107.8399999999999"/>
  </r>
  <r>
    <d v="2020-06-07T00:00:00"/>
    <s v="Difference attention whatever american."/>
    <x v="0"/>
    <n v="232.63"/>
    <x v="0"/>
    <x v="5"/>
    <n v="2020"/>
    <n v="-232.63"/>
  </r>
  <r>
    <d v="2020-06-08T00:00:00"/>
    <s v="Current after charge."/>
    <x v="1"/>
    <n v="1095.72"/>
    <x v="0"/>
    <x v="5"/>
    <n v="2020"/>
    <n v="-1095.72"/>
  </r>
  <r>
    <d v="2020-06-09T00:00:00"/>
    <s v="Prove nor design record."/>
    <x v="1"/>
    <n v="865.28"/>
    <x v="0"/>
    <x v="5"/>
    <n v="2020"/>
    <n v="-865.28"/>
  </r>
  <r>
    <d v="2020-06-09T00:00:00"/>
    <s v="Paper white responsibility."/>
    <x v="5"/>
    <n v="826"/>
    <x v="1"/>
    <x v="5"/>
    <n v="2020"/>
    <n v="826"/>
  </r>
  <r>
    <d v="2020-06-10T00:00:00"/>
    <s v="Blue agent find."/>
    <x v="6"/>
    <n v="1367.31"/>
    <x v="0"/>
    <x v="5"/>
    <n v="2020"/>
    <n v="-1367.31"/>
  </r>
  <r>
    <d v="2020-06-10T00:00:00"/>
    <s v="Walk cup option store."/>
    <x v="7"/>
    <n v="1562.43"/>
    <x v="0"/>
    <x v="5"/>
    <n v="2020"/>
    <n v="-1562.43"/>
  </r>
  <r>
    <d v="2020-06-11T00:00:00"/>
    <s v="Recent feeling."/>
    <x v="4"/>
    <n v="1947.94"/>
    <x v="0"/>
    <x v="5"/>
    <n v="2020"/>
    <n v="-1947.94"/>
  </r>
  <r>
    <d v="2020-06-11T00:00:00"/>
    <s v="Site girl into have media."/>
    <x v="6"/>
    <n v="1730.57"/>
    <x v="0"/>
    <x v="5"/>
    <n v="2020"/>
    <n v="-1730.57"/>
  </r>
  <r>
    <d v="2020-06-12T00:00:00"/>
    <s v="Support state."/>
    <x v="1"/>
    <n v="1764.02"/>
    <x v="0"/>
    <x v="5"/>
    <n v="2020"/>
    <n v="-1764.02"/>
  </r>
  <r>
    <d v="2020-06-14T00:00:00"/>
    <s v="Whether player stock religious."/>
    <x v="5"/>
    <n v="3872"/>
    <x v="1"/>
    <x v="5"/>
    <n v="2020"/>
    <n v="3872"/>
  </r>
  <r>
    <d v="2020-06-15T00:00:00"/>
    <s v="Safe whole establish."/>
    <x v="6"/>
    <n v="540.94000000000005"/>
    <x v="0"/>
    <x v="5"/>
    <n v="2020"/>
    <n v="-540.94000000000005"/>
  </r>
  <r>
    <d v="2020-06-18T00:00:00"/>
    <s v="Let stay or focus."/>
    <x v="2"/>
    <n v="771.26"/>
    <x v="0"/>
    <x v="5"/>
    <n v="2020"/>
    <n v="-771.26"/>
  </r>
  <r>
    <d v="2020-06-18T00:00:00"/>
    <s v="Everything late."/>
    <x v="5"/>
    <n v="2322"/>
    <x v="1"/>
    <x v="5"/>
    <n v="2020"/>
    <n v="2322"/>
  </r>
  <r>
    <d v="2020-06-18T00:00:00"/>
    <s v="Particular her agreement surface consider."/>
    <x v="5"/>
    <n v="3364"/>
    <x v="1"/>
    <x v="5"/>
    <n v="2020"/>
    <n v="3364"/>
  </r>
  <r>
    <d v="2020-06-19T00:00:00"/>
    <s v="Something future they red."/>
    <x v="6"/>
    <n v="453.62"/>
    <x v="0"/>
    <x v="5"/>
    <n v="2020"/>
    <n v="-453.62"/>
  </r>
  <r>
    <d v="2020-06-19T00:00:00"/>
    <s v="Act way beat result major."/>
    <x v="4"/>
    <n v="663.24"/>
    <x v="0"/>
    <x v="5"/>
    <n v="2020"/>
    <n v="-663.24"/>
  </r>
  <r>
    <d v="2020-06-21T00:00:00"/>
    <s v="Position make society behavior."/>
    <x v="9"/>
    <n v="708.78"/>
    <x v="0"/>
    <x v="5"/>
    <n v="2020"/>
    <n v="-708.78"/>
  </r>
  <r>
    <d v="2020-06-21T00:00:00"/>
    <s v="Reality fill ok list."/>
    <x v="7"/>
    <n v="1879.08"/>
    <x v="0"/>
    <x v="5"/>
    <n v="2020"/>
    <n v="-1879.08"/>
  </r>
  <r>
    <d v="2020-06-22T00:00:00"/>
    <s v="International second former reflect."/>
    <x v="5"/>
    <n v="1962"/>
    <x v="1"/>
    <x v="5"/>
    <n v="2020"/>
    <n v="1962"/>
  </r>
  <r>
    <d v="2020-06-22T00:00:00"/>
    <s v="Edge building court."/>
    <x v="9"/>
    <n v="86.13"/>
    <x v="0"/>
    <x v="5"/>
    <n v="2020"/>
    <n v="-86.13"/>
  </r>
  <r>
    <d v="2020-06-24T00:00:00"/>
    <s v="Week real course school everybody."/>
    <x v="7"/>
    <n v="1459.8"/>
    <x v="0"/>
    <x v="5"/>
    <n v="2020"/>
    <n v="-1459.8"/>
  </r>
  <r>
    <d v="2020-06-30T00:00:00"/>
    <s v="Executive beyond create dinner conference."/>
    <x v="2"/>
    <n v="776.54"/>
    <x v="0"/>
    <x v="5"/>
    <n v="2020"/>
    <n v="-776.54"/>
  </r>
  <r>
    <d v="2020-06-30T00:00:00"/>
    <s v="Call animal approach factor want."/>
    <x v="9"/>
    <n v="98.33"/>
    <x v="0"/>
    <x v="5"/>
    <n v="2020"/>
    <n v="-98.33"/>
  </r>
  <r>
    <d v="2020-07-02T00:00:00"/>
    <s v="Their off."/>
    <x v="6"/>
    <n v="734.8"/>
    <x v="0"/>
    <x v="6"/>
    <n v="2020"/>
    <n v="-734.8"/>
  </r>
  <r>
    <d v="2020-07-03T00:00:00"/>
    <s v="Key continue anything wait."/>
    <x v="5"/>
    <n v="3071"/>
    <x v="1"/>
    <x v="6"/>
    <n v="2020"/>
    <n v="3071"/>
  </r>
  <r>
    <d v="2020-07-04T00:00:00"/>
    <s v="State husband."/>
    <x v="2"/>
    <n v="1442.31"/>
    <x v="0"/>
    <x v="6"/>
    <n v="2020"/>
    <n v="-1442.31"/>
  </r>
  <r>
    <d v="2020-07-05T00:00:00"/>
    <s v="Picture approach chance none fight."/>
    <x v="9"/>
    <n v="1337.12"/>
    <x v="0"/>
    <x v="6"/>
    <n v="2020"/>
    <n v="-1337.12"/>
  </r>
  <r>
    <d v="2020-07-06T00:00:00"/>
    <s v="Newspaper indicate other."/>
    <x v="9"/>
    <n v="1113.28"/>
    <x v="0"/>
    <x v="6"/>
    <n v="2020"/>
    <n v="-1113.28"/>
  </r>
  <r>
    <d v="2020-07-06T00:00:00"/>
    <s v="Herself training father open investment."/>
    <x v="5"/>
    <n v="1925"/>
    <x v="1"/>
    <x v="6"/>
    <n v="2020"/>
    <n v="1925"/>
  </r>
  <r>
    <d v="2020-07-08T00:00:00"/>
    <s v="Art whether between several personal."/>
    <x v="9"/>
    <n v="818.09"/>
    <x v="0"/>
    <x v="6"/>
    <n v="2020"/>
    <n v="-818.09"/>
  </r>
  <r>
    <d v="2020-07-11T00:00:00"/>
    <s v="Church community."/>
    <x v="9"/>
    <n v="580.96"/>
    <x v="0"/>
    <x v="6"/>
    <n v="2020"/>
    <n v="-580.96"/>
  </r>
  <r>
    <d v="2020-07-12T00:00:00"/>
    <s v="Able late order."/>
    <x v="7"/>
    <n v="935.33"/>
    <x v="0"/>
    <x v="6"/>
    <n v="2020"/>
    <n v="-935.33"/>
  </r>
  <r>
    <d v="2020-07-12T00:00:00"/>
    <s v="Discuss religious."/>
    <x v="6"/>
    <n v="1027.24"/>
    <x v="0"/>
    <x v="6"/>
    <n v="2020"/>
    <n v="-1027.24"/>
  </r>
  <r>
    <d v="2020-07-13T00:00:00"/>
    <s v="Reach under."/>
    <x v="1"/>
    <n v="1321.11"/>
    <x v="0"/>
    <x v="6"/>
    <n v="2020"/>
    <n v="-1321.11"/>
  </r>
  <r>
    <d v="2020-07-17T00:00:00"/>
    <s v="Boy different chance enter."/>
    <x v="7"/>
    <n v="195.84"/>
    <x v="0"/>
    <x v="6"/>
    <n v="2020"/>
    <n v="-195.84"/>
  </r>
  <r>
    <d v="2020-07-20T00:00:00"/>
    <s v="Arrive society."/>
    <x v="6"/>
    <n v="1348.86"/>
    <x v="0"/>
    <x v="6"/>
    <n v="2020"/>
    <n v="-1348.86"/>
  </r>
  <r>
    <d v="2020-07-21T00:00:00"/>
    <s v="Keep light fight."/>
    <x v="6"/>
    <n v="303.23"/>
    <x v="0"/>
    <x v="6"/>
    <n v="2020"/>
    <n v="-303.23"/>
  </r>
  <r>
    <d v="2020-07-21T00:00:00"/>
    <s v="Matter management ball."/>
    <x v="5"/>
    <n v="1096"/>
    <x v="1"/>
    <x v="6"/>
    <n v="2020"/>
    <n v="1096"/>
  </r>
  <r>
    <d v="2020-07-22T00:00:00"/>
    <s v="Same page ago director."/>
    <x v="6"/>
    <n v="1439.51"/>
    <x v="0"/>
    <x v="6"/>
    <n v="2020"/>
    <n v="-1439.51"/>
  </r>
  <r>
    <d v="2020-07-22T00:00:00"/>
    <s v="Week yourself public especially american."/>
    <x v="4"/>
    <n v="495.53"/>
    <x v="0"/>
    <x v="6"/>
    <n v="2020"/>
    <n v="-495.53"/>
  </r>
  <r>
    <d v="2020-07-22T00:00:00"/>
    <s v="Million kind everything young."/>
    <x v="0"/>
    <n v="1786.39"/>
    <x v="0"/>
    <x v="6"/>
    <n v="2020"/>
    <n v="-1786.39"/>
  </r>
  <r>
    <d v="2020-07-23T00:00:00"/>
    <s v="Why like impact fly."/>
    <x v="2"/>
    <n v="1559.06"/>
    <x v="0"/>
    <x v="6"/>
    <n v="2020"/>
    <n v="-1559.06"/>
  </r>
  <r>
    <d v="2020-07-24T00:00:00"/>
    <s v="Form really explain."/>
    <x v="8"/>
    <n v="109.93"/>
    <x v="0"/>
    <x v="6"/>
    <n v="2020"/>
    <n v="-109.93"/>
  </r>
  <r>
    <d v="2020-07-28T00:00:00"/>
    <s v="Already because education break significant."/>
    <x v="2"/>
    <n v="918.36"/>
    <x v="0"/>
    <x v="6"/>
    <n v="2020"/>
    <n v="-918.36"/>
  </r>
  <r>
    <d v="2020-07-28T00:00:00"/>
    <s v="Price my."/>
    <x v="7"/>
    <n v="1900.58"/>
    <x v="0"/>
    <x v="6"/>
    <n v="2020"/>
    <n v="-1900.58"/>
  </r>
  <r>
    <d v="2020-07-29T00:00:00"/>
    <s v="Could gun."/>
    <x v="4"/>
    <n v="1662.83"/>
    <x v="0"/>
    <x v="6"/>
    <n v="2020"/>
    <n v="-1662.83"/>
  </r>
  <r>
    <d v="2020-07-30T00:00:00"/>
    <s v="Kind appear environment capital explain."/>
    <x v="1"/>
    <n v="1489.87"/>
    <x v="0"/>
    <x v="6"/>
    <n v="2020"/>
    <n v="-1489.87"/>
  </r>
  <r>
    <d v="2020-07-31T00:00:00"/>
    <s v="Ahead picture son."/>
    <x v="9"/>
    <n v="1506.04"/>
    <x v="0"/>
    <x v="6"/>
    <n v="2020"/>
    <n v="-1506.04"/>
  </r>
  <r>
    <d v="2020-08-01T00:00:00"/>
    <s v="Nearly need behavior."/>
    <x v="9"/>
    <n v="1533.97"/>
    <x v="0"/>
    <x v="7"/>
    <n v="2020"/>
    <n v="-1533.97"/>
  </r>
  <r>
    <d v="2020-08-01T00:00:00"/>
    <s v="Water positive child usually."/>
    <x v="6"/>
    <n v="556.45000000000005"/>
    <x v="0"/>
    <x v="7"/>
    <n v="2020"/>
    <n v="-556.45000000000005"/>
  </r>
  <r>
    <d v="2020-08-01T00:00:00"/>
    <s v="Relate indeed lot line lead."/>
    <x v="5"/>
    <n v="2420"/>
    <x v="1"/>
    <x v="7"/>
    <n v="2020"/>
    <n v="2420"/>
  </r>
  <r>
    <d v="2020-08-02T00:00:00"/>
    <s v="Course out second carry."/>
    <x v="7"/>
    <n v="1787.12"/>
    <x v="0"/>
    <x v="7"/>
    <n v="2020"/>
    <n v="-1787.12"/>
  </r>
  <r>
    <d v="2020-08-03T00:00:00"/>
    <s v="Significant take future."/>
    <x v="3"/>
    <n v="2394"/>
    <x v="1"/>
    <x v="7"/>
    <n v="2020"/>
    <n v="2394"/>
  </r>
  <r>
    <d v="2020-08-04T00:00:00"/>
    <s v="Star executive fear."/>
    <x v="1"/>
    <n v="1415.77"/>
    <x v="0"/>
    <x v="7"/>
    <n v="2020"/>
    <n v="-1415.77"/>
  </r>
  <r>
    <d v="2020-08-04T00:00:00"/>
    <s v="Your majority chance mrs generation."/>
    <x v="5"/>
    <n v="3210"/>
    <x v="1"/>
    <x v="7"/>
    <n v="2020"/>
    <n v="3210"/>
  </r>
  <r>
    <d v="2020-08-04T00:00:00"/>
    <s v="Help usually thank wonder draw."/>
    <x v="4"/>
    <n v="133.91"/>
    <x v="0"/>
    <x v="7"/>
    <n v="2020"/>
    <n v="-133.91"/>
  </r>
  <r>
    <d v="2020-08-05T00:00:00"/>
    <s v="Task improve fish."/>
    <x v="4"/>
    <n v="1810.63"/>
    <x v="0"/>
    <x v="7"/>
    <n v="2020"/>
    <n v="-1810.63"/>
  </r>
  <r>
    <d v="2020-08-05T00:00:00"/>
    <s v="History professional star wonder."/>
    <x v="0"/>
    <n v="1714.9"/>
    <x v="0"/>
    <x v="7"/>
    <n v="2020"/>
    <n v="-1714.9"/>
  </r>
  <r>
    <d v="2020-08-06T00:00:00"/>
    <s v="Call whole."/>
    <x v="4"/>
    <n v="959.19"/>
    <x v="0"/>
    <x v="7"/>
    <n v="2020"/>
    <n v="-959.19"/>
  </r>
  <r>
    <d v="2020-08-08T00:00:00"/>
    <s v="Them key."/>
    <x v="9"/>
    <n v="1509.42"/>
    <x v="0"/>
    <x v="7"/>
    <n v="2020"/>
    <n v="-1509.42"/>
  </r>
  <r>
    <d v="2020-08-08T00:00:00"/>
    <s v="Address century that wide."/>
    <x v="4"/>
    <n v="1081.06"/>
    <x v="0"/>
    <x v="7"/>
    <n v="2020"/>
    <n v="-1081.06"/>
  </r>
  <r>
    <d v="2020-08-09T00:00:00"/>
    <s v="Sit enter perhaps however."/>
    <x v="6"/>
    <n v="981.58"/>
    <x v="0"/>
    <x v="7"/>
    <n v="2020"/>
    <n v="-981.58"/>
  </r>
  <r>
    <d v="2020-08-13T00:00:00"/>
    <s v="System teacher here first."/>
    <x v="8"/>
    <n v="67.760000000000005"/>
    <x v="0"/>
    <x v="7"/>
    <n v="2020"/>
    <n v="-67.760000000000005"/>
  </r>
  <r>
    <d v="2020-08-14T00:00:00"/>
    <s v="Along attention piece tv young."/>
    <x v="4"/>
    <n v="1451.12"/>
    <x v="0"/>
    <x v="7"/>
    <n v="2020"/>
    <n v="-1451.12"/>
  </r>
  <r>
    <d v="2020-08-16T00:00:00"/>
    <s v="Within set region beyond."/>
    <x v="1"/>
    <n v="1961.64"/>
    <x v="0"/>
    <x v="7"/>
    <n v="2020"/>
    <n v="-1961.64"/>
  </r>
  <r>
    <d v="2020-08-17T00:00:00"/>
    <s v="Tough animal someone."/>
    <x v="4"/>
    <n v="1187.8699999999999"/>
    <x v="0"/>
    <x v="7"/>
    <n v="2020"/>
    <n v="-1187.8699999999999"/>
  </r>
  <r>
    <d v="2020-08-18T00:00:00"/>
    <s v="Hear certainly most not."/>
    <x v="2"/>
    <n v="1289.07"/>
    <x v="0"/>
    <x v="7"/>
    <n v="2020"/>
    <n v="-1289.07"/>
  </r>
  <r>
    <d v="2020-08-19T00:00:00"/>
    <s v="Company participant him."/>
    <x v="5"/>
    <n v="1988"/>
    <x v="1"/>
    <x v="7"/>
    <n v="2020"/>
    <n v="1988"/>
  </r>
  <r>
    <d v="2020-08-20T00:00:00"/>
    <s v="Tree central leave effect."/>
    <x v="5"/>
    <n v="3181"/>
    <x v="1"/>
    <x v="7"/>
    <n v="2020"/>
    <n v="3181"/>
  </r>
  <r>
    <d v="2020-08-21T00:00:00"/>
    <s v="Together let."/>
    <x v="7"/>
    <n v="681.63"/>
    <x v="0"/>
    <x v="7"/>
    <n v="2020"/>
    <n v="-681.63"/>
  </r>
  <r>
    <d v="2020-08-21T00:00:00"/>
    <s v="Citizen kid generation onto police."/>
    <x v="9"/>
    <n v="1506.5"/>
    <x v="0"/>
    <x v="7"/>
    <n v="2020"/>
    <n v="-1506.5"/>
  </r>
  <r>
    <d v="2020-08-22T00:00:00"/>
    <s v="Lead few yourself."/>
    <x v="9"/>
    <n v="1671.47"/>
    <x v="0"/>
    <x v="7"/>
    <n v="2020"/>
    <n v="-1671.47"/>
  </r>
  <r>
    <d v="2020-08-22T00:00:00"/>
    <s v="Down occur."/>
    <x v="0"/>
    <n v="1999.82"/>
    <x v="0"/>
    <x v="7"/>
    <n v="2020"/>
    <n v="-1999.82"/>
  </r>
  <r>
    <d v="2020-08-26T00:00:00"/>
    <s v="Yeah far within."/>
    <x v="2"/>
    <n v="1564.65"/>
    <x v="0"/>
    <x v="7"/>
    <n v="2020"/>
    <n v="-1564.65"/>
  </r>
  <r>
    <d v="2020-08-27T00:00:00"/>
    <s v="Account ten sing."/>
    <x v="0"/>
    <n v="1899.73"/>
    <x v="0"/>
    <x v="7"/>
    <n v="2020"/>
    <n v="-1899.73"/>
  </r>
  <r>
    <d v="2020-08-27T00:00:00"/>
    <s v="Seat strategy total simply discover."/>
    <x v="3"/>
    <n v="1748"/>
    <x v="1"/>
    <x v="7"/>
    <n v="2020"/>
    <n v="1748"/>
  </r>
  <r>
    <d v="2020-08-29T00:00:00"/>
    <s v="Pm per question."/>
    <x v="8"/>
    <n v="1342.22"/>
    <x v="0"/>
    <x v="7"/>
    <n v="2020"/>
    <n v="-1342.22"/>
  </r>
  <r>
    <d v="2020-08-30T00:00:00"/>
    <s v="Best physical always small almost."/>
    <x v="6"/>
    <n v="935.42"/>
    <x v="0"/>
    <x v="7"/>
    <n v="2020"/>
    <n v="-935.42"/>
  </r>
  <r>
    <d v="2020-08-31T00:00:00"/>
    <s v="Bed far section."/>
    <x v="7"/>
    <n v="343.9"/>
    <x v="0"/>
    <x v="7"/>
    <n v="2020"/>
    <n v="-343.9"/>
  </r>
  <r>
    <d v="2020-09-01T00:00:00"/>
    <s v="Car much will."/>
    <x v="2"/>
    <n v="1557.81"/>
    <x v="0"/>
    <x v="8"/>
    <n v="2020"/>
    <n v="-1557.81"/>
  </r>
  <r>
    <d v="2020-09-05T00:00:00"/>
    <s v="Tree store either station."/>
    <x v="5"/>
    <n v="1385"/>
    <x v="1"/>
    <x v="8"/>
    <n v="2020"/>
    <n v="1385"/>
  </r>
  <r>
    <d v="2020-09-05T00:00:00"/>
    <s v="Second full boy."/>
    <x v="9"/>
    <n v="1155.8399999999999"/>
    <x v="0"/>
    <x v="8"/>
    <n v="2020"/>
    <n v="-1155.8399999999999"/>
  </r>
  <r>
    <d v="2020-09-06T00:00:00"/>
    <s v="Senior difficult put."/>
    <x v="4"/>
    <n v="799.34"/>
    <x v="0"/>
    <x v="8"/>
    <n v="2020"/>
    <n v="-799.34"/>
  </r>
  <r>
    <d v="2020-09-07T00:00:00"/>
    <s v="Hand so add mr lawyer."/>
    <x v="2"/>
    <n v="1188.27"/>
    <x v="0"/>
    <x v="8"/>
    <n v="2020"/>
    <n v="-1188.27"/>
  </r>
  <r>
    <d v="2020-09-08T00:00:00"/>
    <s v="Herself police he push likely."/>
    <x v="6"/>
    <n v="212.78"/>
    <x v="0"/>
    <x v="8"/>
    <n v="2020"/>
    <n v="-212.78"/>
  </r>
  <r>
    <d v="2020-09-11T00:00:00"/>
    <s v="Trip determine as statement."/>
    <x v="2"/>
    <n v="1594.49"/>
    <x v="0"/>
    <x v="8"/>
    <n v="2020"/>
    <n v="-1594.49"/>
  </r>
  <r>
    <d v="2020-09-11T00:00:00"/>
    <s v="Bring animal also you."/>
    <x v="0"/>
    <n v="700.94"/>
    <x v="0"/>
    <x v="8"/>
    <n v="2020"/>
    <n v="-700.94"/>
  </r>
  <r>
    <d v="2020-09-11T00:00:00"/>
    <s v="Doctor mr."/>
    <x v="7"/>
    <n v="147.22"/>
    <x v="0"/>
    <x v="8"/>
    <n v="2020"/>
    <n v="-147.22"/>
  </r>
  <r>
    <d v="2020-09-16T00:00:00"/>
    <s v="He we recent music."/>
    <x v="0"/>
    <n v="1700.66"/>
    <x v="0"/>
    <x v="8"/>
    <n v="2020"/>
    <n v="-1700.66"/>
  </r>
  <r>
    <d v="2020-09-17T00:00:00"/>
    <s v="Those pressure street."/>
    <x v="2"/>
    <n v="872.71"/>
    <x v="0"/>
    <x v="8"/>
    <n v="2020"/>
    <n v="-872.71"/>
  </r>
  <r>
    <d v="2020-09-17T00:00:00"/>
    <s v="Allow have kitchen."/>
    <x v="8"/>
    <n v="1417.54"/>
    <x v="0"/>
    <x v="8"/>
    <n v="2020"/>
    <n v="-1417.54"/>
  </r>
  <r>
    <d v="2020-09-18T00:00:00"/>
    <s v="Between rate name within."/>
    <x v="9"/>
    <n v="1235.67"/>
    <x v="0"/>
    <x v="8"/>
    <n v="2020"/>
    <n v="-1235.67"/>
  </r>
  <r>
    <d v="2020-09-18T00:00:00"/>
    <s v="Huge couple."/>
    <x v="8"/>
    <n v="935.1"/>
    <x v="0"/>
    <x v="8"/>
    <n v="2020"/>
    <n v="-935.1"/>
  </r>
  <r>
    <d v="2020-09-22T00:00:00"/>
    <s v="Begin deep police wife."/>
    <x v="9"/>
    <n v="651.39"/>
    <x v="0"/>
    <x v="8"/>
    <n v="2020"/>
    <n v="-651.39"/>
  </r>
  <r>
    <d v="2020-09-22T00:00:00"/>
    <s v="During call north attention."/>
    <x v="2"/>
    <n v="565.07000000000005"/>
    <x v="0"/>
    <x v="8"/>
    <n v="2020"/>
    <n v="-565.07000000000005"/>
  </r>
  <r>
    <d v="2020-09-22T00:00:00"/>
    <s v="Only spend do."/>
    <x v="8"/>
    <n v="1144"/>
    <x v="0"/>
    <x v="8"/>
    <n v="2020"/>
    <n v="-1144"/>
  </r>
  <r>
    <d v="2020-09-23T00:00:00"/>
    <s v="Able teach certain candidate economy."/>
    <x v="7"/>
    <n v="67.11"/>
    <x v="0"/>
    <x v="8"/>
    <n v="2020"/>
    <n v="-67.11"/>
  </r>
  <r>
    <d v="2020-09-23T00:00:00"/>
    <s v="Produce ago."/>
    <x v="1"/>
    <n v="980.22"/>
    <x v="0"/>
    <x v="8"/>
    <n v="2020"/>
    <n v="-980.22"/>
  </r>
  <r>
    <d v="2020-09-25T00:00:00"/>
    <s v="So draw food company."/>
    <x v="9"/>
    <n v="687.27"/>
    <x v="0"/>
    <x v="8"/>
    <n v="2020"/>
    <n v="-687.27"/>
  </r>
  <r>
    <d v="2020-09-27T00:00:00"/>
    <s v="Score moment second."/>
    <x v="9"/>
    <n v="1116.02"/>
    <x v="0"/>
    <x v="8"/>
    <n v="2020"/>
    <n v="-1116.02"/>
  </r>
  <r>
    <d v="2020-09-27T00:00:00"/>
    <s v="Sing message board mean."/>
    <x v="6"/>
    <n v="180.37"/>
    <x v="0"/>
    <x v="8"/>
    <n v="2020"/>
    <n v="-180.37"/>
  </r>
  <r>
    <d v="2020-09-27T00:00:00"/>
    <s v="Feeling poor all your suggest."/>
    <x v="8"/>
    <n v="1114.8"/>
    <x v="0"/>
    <x v="8"/>
    <n v="2020"/>
    <n v="-1114.8"/>
  </r>
  <r>
    <d v="2020-09-29T00:00:00"/>
    <s v="Make travel."/>
    <x v="8"/>
    <n v="1295.3499999999999"/>
    <x v="0"/>
    <x v="8"/>
    <n v="2020"/>
    <n v="-1295.3499999999999"/>
  </r>
  <r>
    <d v="2020-09-30T00:00:00"/>
    <s v="Focus chance."/>
    <x v="0"/>
    <n v="195.18"/>
    <x v="0"/>
    <x v="8"/>
    <n v="2020"/>
    <n v="-195.18"/>
  </r>
  <r>
    <d v="2020-10-01T00:00:00"/>
    <s v="Person one republican."/>
    <x v="6"/>
    <n v="619.35"/>
    <x v="0"/>
    <x v="9"/>
    <n v="2020"/>
    <n v="-619.35"/>
  </r>
  <r>
    <d v="2020-10-03T00:00:00"/>
    <s v="Most law painting between reduce."/>
    <x v="8"/>
    <n v="1111.4100000000001"/>
    <x v="0"/>
    <x v="9"/>
    <n v="2020"/>
    <n v="-1111.4100000000001"/>
  </r>
  <r>
    <d v="2020-10-04T00:00:00"/>
    <s v="Involve thousand including."/>
    <x v="7"/>
    <n v="710.1"/>
    <x v="0"/>
    <x v="9"/>
    <n v="2020"/>
    <n v="-710.1"/>
  </r>
  <r>
    <d v="2020-10-07T00:00:00"/>
    <s v="Indeed believe interview professor."/>
    <x v="9"/>
    <n v="510.29"/>
    <x v="0"/>
    <x v="9"/>
    <n v="2020"/>
    <n v="-510.29"/>
  </r>
  <r>
    <d v="2020-10-07T00:00:00"/>
    <s v="Rather listen before."/>
    <x v="3"/>
    <n v="3084"/>
    <x v="1"/>
    <x v="9"/>
    <n v="2020"/>
    <n v="3084"/>
  </r>
  <r>
    <d v="2020-10-07T00:00:00"/>
    <s v="It season."/>
    <x v="3"/>
    <n v="2069"/>
    <x v="1"/>
    <x v="9"/>
    <n v="2020"/>
    <n v="2069"/>
  </r>
  <r>
    <d v="2020-10-08T00:00:00"/>
    <s v="News only no."/>
    <x v="8"/>
    <n v="560.23"/>
    <x v="0"/>
    <x v="9"/>
    <n v="2020"/>
    <n v="-560.23"/>
  </r>
  <r>
    <d v="2020-10-08T00:00:00"/>
    <s v="Improve them wait."/>
    <x v="9"/>
    <n v="1961.22"/>
    <x v="0"/>
    <x v="9"/>
    <n v="2020"/>
    <n v="-1961.22"/>
  </r>
  <r>
    <d v="2020-10-10T00:00:00"/>
    <s v="Why outside."/>
    <x v="9"/>
    <n v="462.69"/>
    <x v="0"/>
    <x v="9"/>
    <n v="2020"/>
    <n v="-462.69"/>
  </r>
  <r>
    <d v="2020-10-10T00:00:00"/>
    <s v="Official defense."/>
    <x v="3"/>
    <n v="4875"/>
    <x v="1"/>
    <x v="9"/>
    <n v="2020"/>
    <n v="4875"/>
  </r>
  <r>
    <d v="2020-10-10T00:00:00"/>
    <s v="Suggest glass news."/>
    <x v="3"/>
    <n v="946"/>
    <x v="1"/>
    <x v="9"/>
    <n v="2020"/>
    <n v="946"/>
  </r>
  <r>
    <d v="2020-10-12T00:00:00"/>
    <s v="Off southern suddenly."/>
    <x v="1"/>
    <n v="1279.3599999999999"/>
    <x v="0"/>
    <x v="9"/>
    <n v="2020"/>
    <n v="-1279.3599999999999"/>
  </r>
  <r>
    <d v="2020-10-14T00:00:00"/>
    <s v="Participant price."/>
    <x v="2"/>
    <n v="1746.71"/>
    <x v="0"/>
    <x v="9"/>
    <n v="2020"/>
    <n v="-1746.71"/>
  </r>
  <r>
    <d v="2020-10-15T00:00:00"/>
    <s v="Congress reflect."/>
    <x v="8"/>
    <n v="962.64"/>
    <x v="0"/>
    <x v="9"/>
    <n v="2020"/>
    <n v="-962.64"/>
  </r>
  <r>
    <d v="2020-10-16T00:00:00"/>
    <s v="Go consider century price."/>
    <x v="0"/>
    <n v="512.42999999999995"/>
    <x v="0"/>
    <x v="9"/>
    <n v="2020"/>
    <n v="-512.42999999999995"/>
  </r>
  <r>
    <d v="2020-10-16T00:00:00"/>
    <s v="Scientist will begin."/>
    <x v="2"/>
    <n v="1646.01"/>
    <x v="0"/>
    <x v="9"/>
    <n v="2020"/>
    <n v="-1646.01"/>
  </r>
  <r>
    <d v="2020-10-16T00:00:00"/>
    <s v="Heavy law church."/>
    <x v="2"/>
    <n v="1158.27"/>
    <x v="0"/>
    <x v="9"/>
    <n v="2020"/>
    <n v="-1158.27"/>
  </r>
  <r>
    <d v="2020-10-18T00:00:00"/>
    <s v="Since nothing be apply."/>
    <x v="1"/>
    <n v="306.89999999999998"/>
    <x v="0"/>
    <x v="9"/>
    <n v="2020"/>
    <n v="-306.89999999999998"/>
  </r>
  <r>
    <d v="2020-10-19T00:00:00"/>
    <s v="Anyone bank kitchen interest parent."/>
    <x v="9"/>
    <n v="179.51"/>
    <x v="0"/>
    <x v="9"/>
    <n v="2020"/>
    <n v="-179.51"/>
  </r>
  <r>
    <d v="2020-10-23T00:00:00"/>
    <s v="Democratic mention generation."/>
    <x v="4"/>
    <n v="1216.57"/>
    <x v="0"/>
    <x v="9"/>
    <n v="2020"/>
    <n v="-1216.57"/>
  </r>
  <r>
    <d v="2020-10-24T00:00:00"/>
    <s v="Question or money."/>
    <x v="6"/>
    <n v="1553.63"/>
    <x v="0"/>
    <x v="9"/>
    <n v="2020"/>
    <n v="-1553.63"/>
  </r>
  <r>
    <d v="2020-10-26T00:00:00"/>
    <s v="Determine worker."/>
    <x v="8"/>
    <n v="601.73"/>
    <x v="0"/>
    <x v="9"/>
    <n v="2020"/>
    <n v="-601.73"/>
  </r>
  <r>
    <d v="2020-10-27T00:00:00"/>
    <s v="Daughter war."/>
    <x v="4"/>
    <n v="617.71"/>
    <x v="0"/>
    <x v="9"/>
    <n v="2020"/>
    <n v="-617.71"/>
  </r>
  <r>
    <d v="2020-10-27T00:00:00"/>
    <s v="Face build market."/>
    <x v="2"/>
    <n v="1895.7"/>
    <x v="0"/>
    <x v="9"/>
    <n v="2020"/>
    <n v="-1895.7"/>
  </r>
  <r>
    <d v="2020-10-27T00:00:00"/>
    <s v="Can mouth discover."/>
    <x v="6"/>
    <n v="536.65"/>
    <x v="0"/>
    <x v="9"/>
    <n v="2020"/>
    <n v="-536.65"/>
  </r>
  <r>
    <d v="2020-10-28T00:00:00"/>
    <s v="Author technology amount affect."/>
    <x v="3"/>
    <n v="1923"/>
    <x v="1"/>
    <x v="9"/>
    <n v="2020"/>
    <n v="1923"/>
  </r>
  <r>
    <d v="2020-10-29T00:00:00"/>
    <s v="Office of remember individual."/>
    <x v="1"/>
    <n v="15.32"/>
    <x v="0"/>
    <x v="9"/>
    <n v="2020"/>
    <n v="-15.32"/>
  </r>
  <r>
    <d v="2020-10-30T00:00:00"/>
    <s v="Again foot soon peace."/>
    <x v="8"/>
    <n v="589.61"/>
    <x v="0"/>
    <x v="9"/>
    <n v="2020"/>
    <n v="-589.61"/>
  </r>
  <r>
    <d v="2020-10-31T00:00:00"/>
    <s v="Join black."/>
    <x v="9"/>
    <n v="1408.95"/>
    <x v="0"/>
    <x v="9"/>
    <n v="2020"/>
    <n v="-1408.95"/>
  </r>
  <r>
    <d v="2020-11-01T00:00:00"/>
    <s v="Hundred bad that second develop."/>
    <x v="6"/>
    <n v="1848.58"/>
    <x v="0"/>
    <x v="10"/>
    <n v="2020"/>
    <n v="-1848.58"/>
  </r>
  <r>
    <d v="2020-11-01T00:00:00"/>
    <s v="Member box."/>
    <x v="6"/>
    <n v="856.03"/>
    <x v="0"/>
    <x v="10"/>
    <n v="2020"/>
    <n v="-856.03"/>
  </r>
  <r>
    <d v="2020-11-02T00:00:00"/>
    <s v="Town glass road."/>
    <x v="1"/>
    <n v="1817.74"/>
    <x v="0"/>
    <x v="10"/>
    <n v="2020"/>
    <n v="-1817.74"/>
  </r>
  <r>
    <d v="2020-11-04T00:00:00"/>
    <s v="Bill eight community."/>
    <x v="2"/>
    <n v="128.68"/>
    <x v="0"/>
    <x v="10"/>
    <n v="2020"/>
    <n v="-128.68"/>
  </r>
  <r>
    <d v="2020-11-06T00:00:00"/>
    <s v="Concern significant."/>
    <x v="9"/>
    <n v="883.92"/>
    <x v="0"/>
    <x v="10"/>
    <n v="2020"/>
    <n v="-883.92"/>
  </r>
  <r>
    <d v="2020-11-07T00:00:00"/>
    <s v="Senior service large under."/>
    <x v="9"/>
    <n v="1402.47"/>
    <x v="0"/>
    <x v="10"/>
    <n v="2020"/>
    <n v="-1402.47"/>
  </r>
  <r>
    <d v="2020-11-09T00:00:00"/>
    <s v="Follow wife firm key light."/>
    <x v="8"/>
    <n v="881.14"/>
    <x v="0"/>
    <x v="10"/>
    <n v="2020"/>
    <n v="-881.14"/>
  </r>
  <r>
    <d v="2020-11-10T00:00:00"/>
    <s v="Option goal avoid."/>
    <x v="4"/>
    <n v="1471.72"/>
    <x v="0"/>
    <x v="10"/>
    <n v="2020"/>
    <n v="-1471.72"/>
  </r>
  <r>
    <d v="2020-11-10T00:00:00"/>
    <s v="Also hard expert popular."/>
    <x v="0"/>
    <n v="191.74"/>
    <x v="0"/>
    <x v="10"/>
    <n v="2020"/>
    <n v="-191.74"/>
  </r>
  <r>
    <d v="2020-11-12T00:00:00"/>
    <s v="Order his oil west school."/>
    <x v="0"/>
    <n v="1999.15"/>
    <x v="0"/>
    <x v="10"/>
    <n v="2020"/>
    <n v="-1999.15"/>
  </r>
  <r>
    <d v="2020-11-12T00:00:00"/>
    <s v="Training occur could painting."/>
    <x v="9"/>
    <n v="1156.73"/>
    <x v="0"/>
    <x v="10"/>
    <n v="2020"/>
    <n v="-1156.73"/>
  </r>
  <r>
    <d v="2020-11-14T00:00:00"/>
    <s v="Whatever late specific."/>
    <x v="1"/>
    <n v="946.3"/>
    <x v="0"/>
    <x v="10"/>
    <n v="2020"/>
    <n v="-946.3"/>
  </r>
  <r>
    <d v="2020-11-14T00:00:00"/>
    <s v="Mean common."/>
    <x v="9"/>
    <n v="371.16"/>
    <x v="0"/>
    <x v="10"/>
    <n v="2020"/>
    <n v="-371.16"/>
  </r>
  <r>
    <d v="2020-11-14T00:00:00"/>
    <s v="Yard model particular hair."/>
    <x v="8"/>
    <n v="1938.42"/>
    <x v="0"/>
    <x v="10"/>
    <n v="2020"/>
    <n v="-1938.42"/>
  </r>
  <r>
    <d v="2020-11-14T00:00:00"/>
    <s v="Impact full our smile."/>
    <x v="4"/>
    <n v="673.28"/>
    <x v="0"/>
    <x v="10"/>
    <n v="2020"/>
    <n v="-673.28"/>
  </r>
  <r>
    <d v="2020-11-15T00:00:00"/>
    <s v="Form newspaper."/>
    <x v="1"/>
    <n v="666.31"/>
    <x v="0"/>
    <x v="10"/>
    <n v="2020"/>
    <n v="-666.31"/>
  </r>
  <r>
    <d v="2020-11-15T00:00:00"/>
    <s v="Edge surface who."/>
    <x v="9"/>
    <n v="1328.54"/>
    <x v="0"/>
    <x v="10"/>
    <n v="2020"/>
    <n v="-1328.54"/>
  </r>
  <r>
    <d v="2020-11-16T00:00:00"/>
    <s v="Bank professional true financial."/>
    <x v="0"/>
    <n v="915.1"/>
    <x v="0"/>
    <x v="10"/>
    <n v="2020"/>
    <n v="-915.1"/>
  </r>
  <r>
    <d v="2020-11-16T00:00:00"/>
    <s v="Organization visit finally."/>
    <x v="7"/>
    <n v="240.68"/>
    <x v="0"/>
    <x v="10"/>
    <n v="2020"/>
    <n v="-240.68"/>
  </r>
  <r>
    <d v="2020-11-17T00:00:00"/>
    <s v="Spend prove stock school."/>
    <x v="0"/>
    <n v="1318.74"/>
    <x v="0"/>
    <x v="10"/>
    <n v="2020"/>
    <n v="-1318.74"/>
  </r>
  <r>
    <d v="2020-11-20T00:00:00"/>
    <s v="Position interest."/>
    <x v="4"/>
    <n v="117.87"/>
    <x v="0"/>
    <x v="10"/>
    <n v="2020"/>
    <n v="-117.87"/>
  </r>
  <r>
    <d v="2020-11-22T00:00:00"/>
    <s v="Guy congress."/>
    <x v="8"/>
    <n v="1254.56"/>
    <x v="0"/>
    <x v="10"/>
    <n v="2020"/>
    <n v="-1254.56"/>
  </r>
  <r>
    <d v="2020-11-23T00:00:00"/>
    <s v="Way main difficult case."/>
    <x v="6"/>
    <n v="541.44000000000005"/>
    <x v="0"/>
    <x v="10"/>
    <n v="2020"/>
    <n v="-541.44000000000005"/>
  </r>
  <r>
    <d v="2020-11-25T00:00:00"/>
    <s v="Such big side."/>
    <x v="5"/>
    <n v="4089"/>
    <x v="1"/>
    <x v="10"/>
    <n v="2020"/>
    <n v="4089"/>
  </r>
  <r>
    <d v="2020-11-25T00:00:00"/>
    <s v="Product then."/>
    <x v="8"/>
    <n v="251.64"/>
    <x v="0"/>
    <x v="10"/>
    <n v="2020"/>
    <n v="-251.64"/>
  </r>
  <r>
    <d v="2020-11-26T00:00:00"/>
    <s v="Heavy class story side speak."/>
    <x v="6"/>
    <n v="1422.47"/>
    <x v="0"/>
    <x v="10"/>
    <n v="2020"/>
    <n v="-1422.47"/>
  </r>
  <r>
    <d v="2020-11-27T00:00:00"/>
    <s v="Analysis hair rest wide."/>
    <x v="0"/>
    <n v="1108.98"/>
    <x v="0"/>
    <x v="10"/>
    <n v="2020"/>
    <n v="-1108.98"/>
  </r>
  <r>
    <d v="2020-11-27T00:00:00"/>
    <s v="Doctor dream whole six."/>
    <x v="3"/>
    <n v="4280"/>
    <x v="1"/>
    <x v="10"/>
    <n v="2020"/>
    <n v="4280"/>
  </r>
  <r>
    <d v="2020-11-29T00:00:00"/>
    <s v="Question now key show."/>
    <x v="1"/>
    <n v="1001.77"/>
    <x v="0"/>
    <x v="10"/>
    <n v="2020"/>
    <n v="-1001.77"/>
  </r>
  <r>
    <d v="2020-12-01T00:00:00"/>
    <s v="Month whom stage soon."/>
    <x v="9"/>
    <n v="836.83"/>
    <x v="0"/>
    <x v="11"/>
    <n v="2020"/>
    <n v="-836.83"/>
  </r>
  <r>
    <d v="2020-12-05T00:00:00"/>
    <s v="Appear lose he."/>
    <x v="8"/>
    <n v="495.02"/>
    <x v="0"/>
    <x v="11"/>
    <n v="2020"/>
    <n v="-495.02"/>
  </r>
  <r>
    <d v="2020-12-05T00:00:00"/>
    <s v="Surface expect several evening town."/>
    <x v="4"/>
    <n v="389.31"/>
    <x v="0"/>
    <x v="11"/>
    <n v="2020"/>
    <n v="-389.31"/>
  </r>
  <r>
    <d v="2020-12-06T00:00:00"/>
    <s v="Begin treat stage this."/>
    <x v="1"/>
    <n v="1729.41"/>
    <x v="0"/>
    <x v="11"/>
    <n v="2020"/>
    <n v="-1729.41"/>
  </r>
  <r>
    <d v="2020-12-10T00:00:00"/>
    <s v="Apply maybe dog yes."/>
    <x v="4"/>
    <n v="686.35"/>
    <x v="0"/>
    <x v="11"/>
    <n v="2020"/>
    <n v="-686.35"/>
  </r>
  <r>
    <d v="2020-12-10T00:00:00"/>
    <s v="Agreement us stuff."/>
    <x v="9"/>
    <n v="1642.89"/>
    <x v="0"/>
    <x v="11"/>
    <n v="2020"/>
    <n v="-1642.89"/>
  </r>
  <r>
    <d v="2020-12-11T00:00:00"/>
    <s v="Case expert stop."/>
    <x v="9"/>
    <n v="1676.58"/>
    <x v="0"/>
    <x v="11"/>
    <n v="2020"/>
    <n v="-1676.58"/>
  </r>
  <r>
    <d v="2020-12-12T00:00:00"/>
    <s v="Large accept bad eight."/>
    <x v="8"/>
    <n v="1731.87"/>
    <x v="0"/>
    <x v="11"/>
    <n v="2020"/>
    <n v="-1731.87"/>
  </r>
  <r>
    <d v="2020-12-13T00:00:00"/>
    <s v="Vote participant institution simply down."/>
    <x v="8"/>
    <n v="696.8"/>
    <x v="0"/>
    <x v="11"/>
    <n v="2020"/>
    <n v="-696.8"/>
  </r>
  <r>
    <d v="2020-12-14T00:00:00"/>
    <s v="Draw police."/>
    <x v="4"/>
    <n v="916.14"/>
    <x v="0"/>
    <x v="11"/>
    <n v="2020"/>
    <n v="-916.14"/>
  </r>
  <r>
    <d v="2020-12-14T00:00:00"/>
    <s v="Book toward."/>
    <x v="6"/>
    <n v="1961.74"/>
    <x v="0"/>
    <x v="11"/>
    <n v="2020"/>
    <n v="-1961.74"/>
  </r>
  <r>
    <d v="2020-12-16T00:00:00"/>
    <s v="Place offer."/>
    <x v="4"/>
    <n v="474.79"/>
    <x v="0"/>
    <x v="11"/>
    <n v="2020"/>
    <n v="-474.79"/>
  </r>
  <r>
    <d v="2020-12-16T00:00:00"/>
    <s v="Investment pass drive."/>
    <x v="0"/>
    <n v="643.16999999999996"/>
    <x v="0"/>
    <x v="11"/>
    <n v="2020"/>
    <n v="-643.16999999999996"/>
  </r>
  <r>
    <d v="2020-12-16T00:00:00"/>
    <s v="Professor beat window."/>
    <x v="4"/>
    <n v="778.3"/>
    <x v="0"/>
    <x v="11"/>
    <n v="2020"/>
    <n v="-778.3"/>
  </r>
  <r>
    <d v="2020-12-18T00:00:00"/>
    <s v="Name skill medical after them."/>
    <x v="1"/>
    <n v="995.7"/>
    <x v="0"/>
    <x v="11"/>
    <n v="2020"/>
    <n v="-995.7"/>
  </r>
  <r>
    <d v="2020-12-18T00:00:00"/>
    <s v="Wonder effect administration small."/>
    <x v="5"/>
    <n v="1322"/>
    <x v="1"/>
    <x v="11"/>
    <n v="2020"/>
    <n v="1322"/>
  </r>
  <r>
    <d v="2020-12-20T00:00:00"/>
    <s v="Run pick sign."/>
    <x v="8"/>
    <n v="208.43"/>
    <x v="0"/>
    <x v="11"/>
    <n v="2020"/>
    <n v="-208.43"/>
  </r>
  <r>
    <d v="2020-12-20T00:00:00"/>
    <s v="And national spend."/>
    <x v="0"/>
    <n v="1447.66"/>
    <x v="0"/>
    <x v="11"/>
    <n v="2020"/>
    <n v="-1447.66"/>
  </r>
  <r>
    <d v="2020-12-22T00:00:00"/>
    <s v="Wonder long consider care."/>
    <x v="1"/>
    <n v="158.91"/>
    <x v="0"/>
    <x v="11"/>
    <n v="2020"/>
    <n v="-158.91"/>
  </r>
  <r>
    <d v="2020-12-23T00:00:00"/>
    <s v="Fall analysis."/>
    <x v="9"/>
    <n v="683.74"/>
    <x v="0"/>
    <x v="11"/>
    <n v="2020"/>
    <n v="-683.74"/>
  </r>
  <r>
    <d v="2020-12-23T00:00:00"/>
    <s v="Firm financial."/>
    <x v="2"/>
    <n v="1705.01"/>
    <x v="0"/>
    <x v="11"/>
    <n v="2020"/>
    <n v="-1705.01"/>
  </r>
  <r>
    <d v="2020-12-24T00:00:00"/>
    <s v="List already positive experience television."/>
    <x v="4"/>
    <n v="1908.74"/>
    <x v="0"/>
    <x v="11"/>
    <n v="2020"/>
    <n v="-1908.74"/>
  </r>
  <r>
    <d v="2020-12-25T00:00:00"/>
    <s v="Event son join hundred."/>
    <x v="8"/>
    <n v="1746.04"/>
    <x v="0"/>
    <x v="11"/>
    <n v="2020"/>
    <n v="-1746.04"/>
  </r>
  <r>
    <d v="2020-12-26T00:00:00"/>
    <s v="Fund cost reality happen."/>
    <x v="3"/>
    <n v="2423"/>
    <x v="1"/>
    <x v="11"/>
    <n v="2020"/>
    <n v="2423"/>
  </r>
  <r>
    <d v="2020-12-28T00:00:00"/>
    <s v="Song risk bad."/>
    <x v="9"/>
    <n v="1994.88"/>
    <x v="0"/>
    <x v="11"/>
    <n v="2020"/>
    <n v="-1994.88"/>
  </r>
  <r>
    <d v="2020-12-30T00:00:00"/>
    <s v="Family bill foreign fast knowledge."/>
    <x v="4"/>
    <n v="1956.89"/>
    <x v="0"/>
    <x v="11"/>
    <n v="2020"/>
    <n v="-1956.89"/>
  </r>
  <r>
    <d v="2020-12-31T00:00:00"/>
    <s v="Ready goal amount."/>
    <x v="2"/>
    <n v="892.92"/>
    <x v="0"/>
    <x v="11"/>
    <n v="2020"/>
    <n v="-892.92"/>
  </r>
  <r>
    <d v="2021-01-01T00:00:00"/>
    <s v="Your ever woman way avoid."/>
    <x v="0"/>
    <n v="101.52"/>
    <x v="0"/>
    <x v="0"/>
    <n v="2021"/>
    <n v="-101.52"/>
  </r>
  <r>
    <d v="2021-01-06T00:00:00"/>
    <s v="Message seek civil all."/>
    <x v="9"/>
    <n v="723.34"/>
    <x v="0"/>
    <x v="0"/>
    <n v="2021"/>
    <n v="-723.34"/>
  </r>
  <r>
    <d v="2021-01-06T00:00:00"/>
    <s v="Call door."/>
    <x v="6"/>
    <n v="1067.02"/>
    <x v="0"/>
    <x v="0"/>
    <n v="2021"/>
    <n v="-1067.02"/>
  </r>
  <r>
    <d v="2021-01-08T00:00:00"/>
    <s v="Him note painting quickly."/>
    <x v="1"/>
    <n v="348.27"/>
    <x v="0"/>
    <x v="0"/>
    <n v="2021"/>
    <n v="-348.27"/>
  </r>
  <r>
    <d v="2021-01-10T00:00:00"/>
    <s v="Know baby case happen."/>
    <x v="5"/>
    <n v="2472"/>
    <x v="1"/>
    <x v="0"/>
    <n v="2021"/>
    <n v="2472"/>
  </r>
  <r>
    <d v="2021-01-10T00:00:00"/>
    <s v="Economic box save."/>
    <x v="1"/>
    <n v="472.06"/>
    <x v="0"/>
    <x v="0"/>
    <n v="2021"/>
    <n v="-472.06"/>
  </r>
  <r>
    <d v="2021-01-11T00:00:00"/>
    <s v="Hit no energy employee land."/>
    <x v="8"/>
    <n v="518.1"/>
    <x v="0"/>
    <x v="0"/>
    <n v="2021"/>
    <n v="-518.1"/>
  </r>
  <r>
    <d v="2021-01-12T00:00:00"/>
    <s v="Customer career available common."/>
    <x v="5"/>
    <n v="2856"/>
    <x v="1"/>
    <x v="0"/>
    <n v="2021"/>
    <n v="2856"/>
  </r>
  <r>
    <d v="2021-01-13T00:00:00"/>
    <s v="Specific whose."/>
    <x v="1"/>
    <n v="156.99"/>
    <x v="0"/>
    <x v="0"/>
    <n v="2021"/>
    <n v="-156.99"/>
  </r>
  <r>
    <d v="2021-01-13T00:00:00"/>
    <s v="Remember nearly face feel."/>
    <x v="9"/>
    <n v="1281.49"/>
    <x v="0"/>
    <x v="0"/>
    <n v="2021"/>
    <n v="-1281.49"/>
  </r>
  <r>
    <d v="2021-01-14T00:00:00"/>
    <s v="Soldier meeting building."/>
    <x v="9"/>
    <n v="919.1"/>
    <x v="0"/>
    <x v="0"/>
    <n v="2021"/>
    <n v="-919.1"/>
  </r>
  <r>
    <d v="2021-01-14T00:00:00"/>
    <s v="Door management guess."/>
    <x v="4"/>
    <n v="1708.14"/>
    <x v="0"/>
    <x v="0"/>
    <n v="2021"/>
    <n v="-1708.14"/>
  </r>
  <r>
    <d v="2021-01-15T00:00:00"/>
    <s v="Level work candidate this."/>
    <x v="5"/>
    <n v="3440"/>
    <x v="1"/>
    <x v="0"/>
    <n v="2021"/>
    <n v="3440"/>
  </r>
  <r>
    <d v="2021-01-15T00:00:00"/>
    <s v="Huge response long."/>
    <x v="9"/>
    <n v="53.66"/>
    <x v="0"/>
    <x v="0"/>
    <n v="2021"/>
    <n v="-53.66"/>
  </r>
  <r>
    <d v="2021-01-17T00:00:00"/>
    <s v="Statement available win politics."/>
    <x v="4"/>
    <n v="556.22"/>
    <x v="0"/>
    <x v="0"/>
    <n v="2021"/>
    <n v="-556.22"/>
  </r>
  <r>
    <d v="2021-01-17T00:00:00"/>
    <s v="Quite general there sister."/>
    <x v="0"/>
    <n v="1822.13"/>
    <x v="0"/>
    <x v="0"/>
    <n v="2021"/>
    <n v="-1822.13"/>
  </r>
  <r>
    <d v="2021-01-19T00:00:00"/>
    <s v="Item treat area."/>
    <x v="9"/>
    <n v="1553.72"/>
    <x v="0"/>
    <x v="0"/>
    <n v="2021"/>
    <n v="-1553.72"/>
  </r>
  <r>
    <d v="2021-01-20T00:00:00"/>
    <s v="Check clearly follow remember generation."/>
    <x v="7"/>
    <n v="445.82"/>
    <x v="0"/>
    <x v="0"/>
    <n v="2021"/>
    <n v="-445.82"/>
  </r>
  <r>
    <d v="2021-01-24T00:00:00"/>
    <s v="Suffer economy play."/>
    <x v="5"/>
    <n v="1620"/>
    <x v="1"/>
    <x v="0"/>
    <n v="2021"/>
    <n v="1620"/>
  </r>
  <r>
    <d v="2021-01-26T00:00:00"/>
    <s v="By field move."/>
    <x v="0"/>
    <n v="624.78"/>
    <x v="0"/>
    <x v="0"/>
    <n v="2021"/>
    <n v="-624.78"/>
  </r>
  <r>
    <d v="2021-01-27T00:00:00"/>
    <s v="Option oil commercial."/>
    <x v="7"/>
    <n v="1467.4"/>
    <x v="0"/>
    <x v="0"/>
    <n v="2021"/>
    <n v="-1467.4"/>
  </r>
  <r>
    <d v="2021-01-27T00:00:00"/>
    <s v="American tell ball we side."/>
    <x v="5"/>
    <n v="3176"/>
    <x v="1"/>
    <x v="0"/>
    <n v="2021"/>
    <n v="3176"/>
  </r>
  <r>
    <d v="2021-01-27T00:00:00"/>
    <s v="Short indicate police."/>
    <x v="1"/>
    <n v="409.58"/>
    <x v="0"/>
    <x v="0"/>
    <n v="2021"/>
    <n v="-409.58"/>
  </r>
  <r>
    <d v="2021-01-27T00:00:00"/>
    <s v="Nation politics few each southern."/>
    <x v="7"/>
    <n v="1066.4000000000001"/>
    <x v="0"/>
    <x v="0"/>
    <n v="2021"/>
    <n v="-1066.4000000000001"/>
  </r>
  <r>
    <d v="2021-01-29T00:00:00"/>
    <s v="Law read citizen."/>
    <x v="1"/>
    <n v="521.37"/>
    <x v="0"/>
    <x v="0"/>
    <n v="2021"/>
    <n v="-521.37"/>
  </r>
  <r>
    <d v="2021-02-02T00:00:00"/>
    <s v="Less future century technology."/>
    <x v="8"/>
    <n v="1935.09"/>
    <x v="0"/>
    <x v="1"/>
    <n v="2021"/>
    <n v="-1935.09"/>
  </r>
  <r>
    <d v="2021-02-05T00:00:00"/>
    <s v="Wish candidate have no."/>
    <x v="7"/>
    <n v="1610.42"/>
    <x v="0"/>
    <x v="1"/>
    <n v="2021"/>
    <n v="-1610.42"/>
  </r>
  <r>
    <d v="2021-02-05T00:00:00"/>
    <s v="Letter environment easy."/>
    <x v="2"/>
    <n v="290.11"/>
    <x v="0"/>
    <x v="1"/>
    <n v="2021"/>
    <n v="-290.11"/>
  </r>
  <r>
    <d v="2021-02-08T00:00:00"/>
    <s v="Face his."/>
    <x v="4"/>
    <n v="1934.87"/>
    <x v="0"/>
    <x v="1"/>
    <n v="2021"/>
    <n v="-1934.87"/>
  </r>
  <r>
    <d v="2021-02-08T00:00:00"/>
    <s v="While total spend."/>
    <x v="7"/>
    <n v="189.7"/>
    <x v="0"/>
    <x v="1"/>
    <n v="2021"/>
    <n v="-189.7"/>
  </r>
  <r>
    <d v="2021-02-09T00:00:00"/>
    <s v="Couple city you level."/>
    <x v="9"/>
    <n v="1077.78"/>
    <x v="0"/>
    <x v="1"/>
    <n v="2021"/>
    <n v="-1077.78"/>
  </r>
  <r>
    <d v="2021-02-09T00:00:00"/>
    <s v="Age war measure whom."/>
    <x v="9"/>
    <n v="1173.27"/>
    <x v="0"/>
    <x v="1"/>
    <n v="2021"/>
    <n v="-1173.27"/>
  </r>
  <r>
    <d v="2021-02-11T00:00:00"/>
    <s v="Good anything manager think pressure."/>
    <x v="7"/>
    <n v="225.61"/>
    <x v="0"/>
    <x v="1"/>
    <n v="2021"/>
    <n v="-225.61"/>
  </r>
  <r>
    <d v="2021-02-11T00:00:00"/>
    <s v="Mr suggest issue."/>
    <x v="0"/>
    <n v="1242.9000000000001"/>
    <x v="0"/>
    <x v="1"/>
    <n v="2021"/>
    <n v="-1242.9000000000001"/>
  </r>
  <r>
    <d v="2021-02-13T00:00:00"/>
    <s v="Shake hand hundred now."/>
    <x v="7"/>
    <n v="1831.36"/>
    <x v="0"/>
    <x v="1"/>
    <n v="2021"/>
    <n v="-1831.36"/>
  </r>
  <r>
    <d v="2021-02-16T00:00:00"/>
    <s v="Network available mean share."/>
    <x v="2"/>
    <n v="1274.45"/>
    <x v="0"/>
    <x v="1"/>
    <n v="2021"/>
    <n v="-1274.45"/>
  </r>
  <r>
    <d v="2021-02-18T00:00:00"/>
    <s v="Quite budget window hour some."/>
    <x v="9"/>
    <n v="1301.99"/>
    <x v="0"/>
    <x v="1"/>
    <n v="2021"/>
    <n v="-1301.99"/>
  </r>
  <r>
    <d v="2021-02-19T00:00:00"/>
    <s v="Voice sense current meeting matter."/>
    <x v="3"/>
    <n v="804"/>
    <x v="1"/>
    <x v="1"/>
    <n v="2021"/>
    <n v="804"/>
  </r>
  <r>
    <d v="2021-02-20T00:00:00"/>
    <s v="Case four."/>
    <x v="8"/>
    <n v="241.08"/>
    <x v="0"/>
    <x v="1"/>
    <n v="2021"/>
    <n v="-241.08"/>
  </r>
  <r>
    <d v="2021-02-21T00:00:00"/>
    <s v="Lead paper middle foreign party."/>
    <x v="1"/>
    <n v="783.41"/>
    <x v="0"/>
    <x v="1"/>
    <n v="2021"/>
    <n v="-783.41"/>
  </r>
  <r>
    <d v="2021-02-23T00:00:00"/>
    <s v="Wrong school federal from."/>
    <x v="4"/>
    <n v="1178.81"/>
    <x v="0"/>
    <x v="1"/>
    <n v="2021"/>
    <n v="-1178.81"/>
  </r>
  <r>
    <d v="2021-02-24T00:00:00"/>
    <s v="Majority none little admit former."/>
    <x v="4"/>
    <n v="1313.29"/>
    <x v="0"/>
    <x v="1"/>
    <n v="2021"/>
    <n v="-1313.29"/>
  </r>
  <r>
    <d v="2021-02-27T00:00:00"/>
    <s v="On someone rise read."/>
    <x v="4"/>
    <n v="1878.72"/>
    <x v="0"/>
    <x v="1"/>
    <n v="2021"/>
    <n v="-1878.72"/>
  </r>
  <r>
    <d v="2021-02-28T00:00:00"/>
    <s v="Listen whose situation simply officer."/>
    <x v="7"/>
    <n v="442.37"/>
    <x v="0"/>
    <x v="1"/>
    <n v="2021"/>
    <n v="-442.37"/>
  </r>
  <r>
    <d v="2021-03-02T00:00:00"/>
    <s v="Lose modern return simple herself."/>
    <x v="6"/>
    <n v="1712.35"/>
    <x v="0"/>
    <x v="2"/>
    <n v="2021"/>
    <n v="-1712.35"/>
  </r>
  <r>
    <d v="2021-03-02T00:00:00"/>
    <s v="Occur red."/>
    <x v="5"/>
    <n v="4960"/>
    <x v="1"/>
    <x v="2"/>
    <n v="2021"/>
    <n v="4960"/>
  </r>
  <r>
    <d v="2021-03-02T00:00:00"/>
    <s v="Kid industry."/>
    <x v="7"/>
    <n v="130.49"/>
    <x v="0"/>
    <x v="2"/>
    <n v="2021"/>
    <n v="-130.49"/>
  </r>
  <r>
    <d v="2021-03-04T00:00:00"/>
    <s v="Improve simple turn."/>
    <x v="2"/>
    <n v="1898.53"/>
    <x v="0"/>
    <x v="2"/>
    <n v="2021"/>
    <n v="-1898.53"/>
  </r>
  <r>
    <d v="2021-03-05T00:00:00"/>
    <s v="Million night your."/>
    <x v="2"/>
    <n v="1328.91"/>
    <x v="0"/>
    <x v="2"/>
    <n v="2021"/>
    <n v="-1328.91"/>
  </r>
  <r>
    <d v="2021-03-05T00:00:00"/>
    <s v="Heavy what least mouth national."/>
    <x v="0"/>
    <n v="110.65"/>
    <x v="0"/>
    <x v="2"/>
    <n v="2021"/>
    <n v="-110.65"/>
  </r>
  <r>
    <d v="2021-03-07T00:00:00"/>
    <s v="Machine whatever everything fear walk."/>
    <x v="1"/>
    <n v="1576.09"/>
    <x v="0"/>
    <x v="2"/>
    <n v="2021"/>
    <n v="-1576.09"/>
  </r>
  <r>
    <d v="2021-03-07T00:00:00"/>
    <s v="Relate real major."/>
    <x v="6"/>
    <n v="1176.9000000000001"/>
    <x v="0"/>
    <x v="2"/>
    <n v="2021"/>
    <n v="-1176.9000000000001"/>
  </r>
  <r>
    <d v="2021-03-08T00:00:00"/>
    <s v="Night various return explain."/>
    <x v="6"/>
    <n v="663.83"/>
    <x v="0"/>
    <x v="2"/>
    <n v="2021"/>
    <n v="-663.83"/>
  </r>
  <r>
    <d v="2021-03-09T00:00:00"/>
    <s v="Here woman stand west source."/>
    <x v="3"/>
    <n v="2771"/>
    <x v="1"/>
    <x v="2"/>
    <n v="2021"/>
    <n v="2771"/>
  </r>
  <r>
    <d v="2021-03-09T00:00:00"/>
    <s v="Explain research."/>
    <x v="1"/>
    <n v="1975.18"/>
    <x v="0"/>
    <x v="2"/>
    <n v="2021"/>
    <n v="-1975.18"/>
  </r>
  <r>
    <d v="2021-03-10T00:00:00"/>
    <s v="Pretty section degree still."/>
    <x v="1"/>
    <n v="228.75"/>
    <x v="0"/>
    <x v="2"/>
    <n v="2021"/>
    <n v="-228.75"/>
  </r>
  <r>
    <d v="2021-03-12T00:00:00"/>
    <s v="Receive case past only drug."/>
    <x v="1"/>
    <n v="39.57"/>
    <x v="0"/>
    <x v="2"/>
    <n v="2021"/>
    <n v="-39.57"/>
  </r>
  <r>
    <d v="2021-03-15T00:00:00"/>
    <s v="Point appear including."/>
    <x v="6"/>
    <n v="1181.82"/>
    <x v="0"/>
    <x v="2"/>
    <n v="2021"/>
    <n v="-1181.82"/>
  </r>
  <r>
    <d v="2021-03-15T00:00:00"/>
    <s v="Race case."/>
    <x v="5"/>
    <n v="929"/>
    <x v="1"/>
    <x v="2"/>
    <n v="2021"/>
    <n v="929"/>
  </r>
  <r>
    <d v="2021-03-16T00:00:00"/>
    <s v="Imagine various there."/>
    <x v="5"/>
    <n v="4809"/>
    <x v="1"/>
    <x v="2"/>
    <n v="2021"/>
    <n v="4809"/>
  </r>
  <r>
    <d v="2021-03-16T00:00:00"/>
    <s v="Sense expert experience."/>
    <x v="3"/>
    <n v="4401"/>
    <x v="1"/>
    <x v="2"/>
    <n v="2021"/>
    <n v="4401"/>
  </r>
  <r>
    <d v="2021-03-17T00:00:00"/>
    <s v="Present discussion."/>
    <x v="7"/>
    <n v="1031.3399999999999"/>
    <x v="0"/>
    <x v="2"/>
    <n v="2021"/>
    <n v="-1031.3399999999999"/>
  </r>
  <r>
    <d v="2021-03-17T00:00:00"/>
    <s v="Individual study value."/>
    <x v="3"/>
    <n v="855"/>
    <x v="1"/>
    <x v="2"/>
    <n v="2021"/>
    <n v="855"/>
  </r>
  <r>
    <d v="2021-03-18T00:00:00"/>
    <s v="Small control see the."/>
    <x v="9"/>
    <n v="921.5"/>
    <x v="0"/>
    <x v="2"/>
    <n v="2021"/>
    <n v="-921.5"/>
  </r>
  <r>
    <d v="2021-03-19T00:00:00"/>
    <s v="Across nothing."/>
    <x v="0"/>
    <n v="1997.19"/>
    <x v="0"/>
    <x v="2"/>
    <n v="2021"/>
    <n v="-1997.19"/>
  </r>
  <r>
    <d v="2021-03-20T00:00:00"/>
    <s v="Expect writer myself management."/>
    <x v="4"/>
    <n v="1375.33"/>
    <x v="0"/>
    <x v="2"/>
    <n v="2021"/>
    <n v="-1375.33"/>
  </r>
  <r>
    <d v="2021-03-21T00:00:00"/>
    <s v="Life cover both class."/>
    <x v="8"/>
    <n v="156.25"/>
    <x v="0"/>
    <x v="2"/>
    <n v="2021"/>
    <n v="-156.25"/>
  </r>
  <r>
    <d v="2021-03-22T00:00:00"/>
    <s v="Responsibility add front."/>
    <x v="3"/>
    <n v="1038"/>
    <x v="1"/>
    <x v="2"/>
    <n v="2021"/>
    <n v="1038"/>
  </r>
  <r>
    <d v="2021-03-22T00:00:00"/>
    <s v="Purpose cover particularly police if."/>
    <x v="5"/>
    <n v="3620"/>
    <x v="1"/>
    <x v="2"/>
    <n v="2021"/>
    <n v="3620"/>
  </r>
  <r>
    <d v="2021-03-22T00:00:00"/>
    <s v="Foreign husband believe word local."/>
    <x v="9"/>
    <n v="912.89"/>
    <x v="0"/>
    <x v="2"/>
    <n v="2021"/>
    <n v="-912.89"/>
  </r>
  <r>
    <d v="2021-03-23T00:00:00"/>
    <s v="End dog."/>
    <x v="2"/>
    <n v="1588.26"/>
    <x v="0"/>
    <x v="2"/>
    <n v="2021"/>
    <n v="-1588.26"/>
  </r>
  <r>
    <d v="2021-03-23T00:00:00"/>
    <s v="Few reveal activity president."/>
    <x v="3"/>
    <n v="4023"/>
    <x v="1"/>
    <x v="2"/>
    <n v="2021"/>
    <n v="4023"/>
  </r>
  <r>
    <d v="2021-03-24T00:00:00"/>
    <s v="Property let."/>
    <x v="6"/>
    <n v="833.49"/>
    <x v="0"/>
    <x v="2"/>
    <n v="2021"/>
    <n v="-833.49"/>
  </r>
  <r>
    <d v="2021-03-25T00:00:00"/>
    <s v="Rather type thousand show."/>
    <x v="4"/>
    <n v="837.82"/>
    <x v="0"/>
    <x v="2"/>
    <n v="2021"/>
    <n v="-837.82"/>
  </r>
  <r>
    <d v="2021-03-26T00:00:00"/>
    <s v="Happen determine whatever."/>
    <x v="5"/>
    <n v="3060"/>
    <x v="1"/>
    <x v="2"/>
    <n v="2021"/>
    <n v="3060"/>
  </r>
  <r>
    <d v="2021-03-27T00:00:00"/>
    <s v="Lawyer writer health."/>
    <x v="7"/>
    <n v="1907.65"/>
    <x v="0"/>
    <x v="2"/>
    <n v="2021"/>
    <n v="-1907.65"/>
  </r>
  <r>
    <d v="2021-03-28T00:00:00"/>
    <s v="Serious soon stay seven."/>
    <x v="8"/>
    <n v="143.6"/>
    <x v="0"/>
    <x v="2"/>
    <n v="2021"/>
    <n v="-143.6"/>
  </r>
  <r>
    <d v="2021-03-29T00:00:00"/>
    <s v="Land region back nor article."/>
    <x v="2"/>
    <n v="869.43"/>
    <x v="0"/>
    <x v="2"/>
    <n v="2021"/>
    <n v="-869.43"/>
  </r>
  <r>
    <d v="2021-03-30T00:00:00"/>
    <s v="Dark mr clearly take."/>
    <x v="7"/>
    <n v="1625.42"/>
    <x v="0"/>
    <x v="2"/>
    <n v="2021"/>
    <n v="-1625.42"/>
  </r>
  <r>
    <d v="2021-04-01T00:00:00"/>
    <s v="Quite response."/>
    <x v="7"/>
    <n v="1343.33"/>
    <x v="0"/>
    <x v="3"/>
    <n v="2021"/>
    <n v="-1343.33"/>
  </r>
  <r>
    <d v="2021-04-02T00:00:00"/>
    <s v="Together knowledge."/>
    <x v="4"/>
    <n v="1737.5"/>
    <x v="0"/>
    <x v="3"/>
    <n v="2021"/>
    <n v="-1737.5"/>
  </r>
  <r>
    <d v="2021-04-03T00:00:00"/>
    <s v="Car indeed nor next."/>
    <x v="9"/>
    <n v="1204.82"/>
    <x v="0"/>
    <x v="3"/>
    <n v="2021"/>
    <n v="-1204.82"/>
  </r>
  <r>
    <d v="2021-04-03T00:00:00"/>
    <s v="How staff."/>
    <x v="6"/>
    <n v="317.91000000000003"/>
    <x v="0"/>
    <x v="3"/>
    <n v="2021"/>
    <n v="-317.91000000000003"/>
  </r>
  <r>
    <d v="2021-04-03T00:00:00"/>
    <s v="Authority interest red must art."/>
    <x v="2"/>
    <n v="706.73"/>
    <x v="0"/>
    <x v="3"/>
    <n v="2021"/>
    <n v="-706.73"/>
  </r>
  <r>
    <d v="2021-04-08T00:00:00"/>
    <s v="All important shoulder she."/>
    <x v="2"/>
    <n v="1527.59"/>
    <x v="0"/>
    <x v="3"/>
    <n v="2021"/>
    <n v="-1527.59"/>
  </r>
  <r>
    <d v="2021-04-08T00:00:00"/>
    <s v="Year him thank trade."/>
    <x v="4"/>
    <n v="1691.86"/>
    <x v="0"/>
    <x v="3"/>
    <n v="2021"/>
    <n v="-1691.86"/>
  </r>
  <r>
    <d v="2021-04-09T00:00:00"/>
    <s v="Radio product."/>
    <x v="0"/>
    <n v="1221.9000000000001"/>
    <x v="0"/>
    <x v="3"/>
    <n v="2021"/>
    <n v="-1221.9000000000001"/>
  </r>
  <r>
    <d v="2021-04-11T00:00:00"/>
    <s v="President girl condition."/>
    <x v="9"/>
    <n v="67.62"/>
    <x v="0"/>
    <x v="3"/>
    <n v="2021"/>
    <n v="-67.62"/>
  </r>
  <r>
    <d v="2021-04-11T00:00:00"/>
    <s v="More road development about."/>
    <x v="9"/>
    <n v="1843.86"/>
    <x v="0"/>
    <x v="3"/>
    <n v="2021"/>
    <n v="-1843.86"/>
  </r>
  <r>
    <d v="2021-04-12T00:00:00"/>
    <s v="Leg rest interest."/>
    <x v="1"/>
    <n v="1741.03"/>
    <x v="0"/>
    <x v="3"/>
    <n v="2021"/>
    <n v="-1741.03"/>
  </r>
  <r>
    <d v="2021-04-13T00:00:00"/>
    <s v="Easy get every."/>
    <x v="4"/>
    <n v="148.47"/>
    <x v="0"/>
    <x v="3"/>
    <n v="2021"/>
    <n v="-148.47"/>
  </r>
  <r>
    <d v="2021-04-18T00:00:00"/>
    <s v="Special information."/>
    <x v="0"/>
    <n v="192.6"/>
    <x v="0"/>
    <x v="3"/>
    <n v="2021"/>
    <n v="-192.6"/>
  </r>
  <r>
    <d v="2021-04-19T00:00:00"/>
    <s v="Deal beyond almost."/>
    <x v="4"/>
    <n v="845.47"/>
    <x v="0"/>
    <x v="3"/>
    <n v="2021"/>
    <n v="-845.47"/>
  </r>
  <r>
    <d v="2021-04-19T00:00:00"/>
    <s v="Scientist i doctor."/>
    <x v="7"/>
    <n v="630.16"/>
    <x v="0"/>
    <x v="3"/>
    <n v="2021"/>
    <n v="-630.16"/>
  </r>
  <r>
    <d v="2021-04-19T00:00:00"/>
    <s v="Cell year."/>
    <x v="2"/>
    <n v="1767.85"/>
    <x v="0"/>
    <x v="3"/>
    <n v="2021"/>
    <n v="-1767.85"/>
  </r>
  <r>
    <d v="2021-04-19T00:00:00"/>
    <s v="Five our pull fly few."/>
    <x v="3"/>
    <n v="1168"/>
    <x v="1"/>
    <x v="3"/>
    <n v="2021"/>
    <n v="1168"/>
  </r>
  <r>
    <d v="2021-04-21T00:00:00"/>
    <s v="Determine feel article we they."/>
    <x v="4"/>
    <n v="976.47"/>
    <x v="0"/>
    <x v="3"/>
    <n v="2021"/>
    <n v="-976.47"/>
  </r>
  <r>
    <d v="2021-04-23T00:00:00"/>
    <s v="Quickly new another general poor."/>
    <x v="9"/>
    <n v="438.98"/>
    <x v="0"/>
    <x v="3"/>
    <n v="2021"/>
    <n v="-438.98"/>
  </r>
  <r>
    <d v="2021-04-23T00:00:00"/>
    <s v="Five indicate chance heavy senior."/>
    <x v="7"/>
    <n v="865.53"/>
    <x v="0"/>
    <x v="3"/>
    <n v="2021"/>
    <n v="-865.53"/>
  </r>
  <r>
    <d v="2021-04-24T00:00:00"/>
    <s v="Support feeling remain."/>
    <x v="8"/>
    <n v="1058.5999999999999"/>
    <x v="0"/>
    <x v="3"/>
    <n v="2021"/>
    <n v="-1058.5999999999999"/>
  </r>
  <r>
    <d v="2021-04-27T00:00:00"/>
    <s v="None whose."/>
    <x v="6"/>
    <n v="796.57"/>
    <x v="0"/>
    <x v="3"/>
    <n v="2021"/>
    <n v="-796.57"/>
  </r>
  <r>
    <d v="2021-04-27T00:00:00"/>
    <s v="Care drug data position two."/>
    <x v="0"/>
    <n v="416.8"/>
    <x v="0"/>
    <x v="3"/>
    <n v="2021"/>
    <n v="-416.8"/>
  </r>
  <r>
    <d v="2021-04-27T00:00:00"/>
    <s v="Movie stop."/>
    <x v="1"/>
    <n v="1530.68"/>
    <x v="0"/>
    <x v="3"/>
    <n v="2021"/>
    <n v="-1530.68"/>
  </r>
  <r>
    <d v="2021-04-30T00:00:00"/>
    <s v="Help painting always."/>
    <x v="2"/>
    <n v="25.38"/>
    <x v="0"/>
    <x v="3"/>
    <n v="2021"/>
    <n v="-25.38"/>
  </r>
  <r>
    <d v="2021-05-02T00:00:00"/>
    <s v="Source onto provide."/>
    <x v="1"/>
    <n v="267.08"/>
    <x v="0"/>
    <x v="4"/>
    <n v="2021"/>
    <n v="-267.08"/>
  </r>
  <r>
    <d v="2021-05-04T00:00:00"/>
    <s v="Decade trade field training."/>
    <x v="6"/>
    <n v="1005.52"/>
    <x v="0"/>
    <x v="4"/>
    <n v="2021"/>
    <n v="-1005.52"/>
  </r>
  <r>
    <d v="2021-05-04T00:00:00"/>
    <s v="While bring yourself."/>
    <x v="7"/>
    <n v="153.43"/>
    <x v="0"/>
    <x v="4"/>
    <n v="2021"/>
    <n v="-153.43"/>
  </r>
  <r>
    <d v="2021-05-06T00:00:00"/>
    <s v="Receive region however."/>
    <x v="0"/>
    <n v="878.08"/>
    <x v="0"/>
    <x v="4"/>
    <n v="2021"/>
    <n v="-878.08"/>
  </r>
  <r>
    <d v="2021-05-07T00:00:00"/>
    <s v="Focus executive letter possible final."/>
    <x v="2"/>
    <n v="1725.6"/>
    <x v="0"/>
    <x v="4"/>
    <n v="2021"/>
    <n v="-1725.6"/>
  </r>
  <r>
    <d v="2021-05-07T00:00:00"/>
    <s v="Third letter sort reveal seven."/>
    <x v="4"/>
    <n v="1421.9"/>
    <x v="0"/>
    <x v="4"/>
    <n v="2021"/>
    <n v="-1421.9"/>
  </r>
  <r>
    <d v="2021-05-07T00:00:00"/>
    <s v="Have including none."/>
    <x v="2"/>
    <n v="816.01"/>
    <x v="0"/>
    <x v="4"/>
    <n v="2021"/>
    <n v="-816.01"/>
  </r>
  <r>
    <d v="2021-05-10T00:00:00"/>
    <s v="Administration network once."/>
    <x v="1"/>
    <n v="1604.63"/>
    <x v="0"/>
    <x v="4"/>
    <n v="2021"/>
    <n v="-1604.63"/>
  </r>
  <r>
    <d v="2021-05-11T00:00:00"/>
    <s v="Charge form here."/>
    <x v="7"/>
    <n v="185.38"/>
    <x v="0"/>
    <x v="4"/>
    <n v="2021"/>
    <n v="-185.38"/>
  </r>
  <r>
    <d v="2021-05-11T00:00:00"/>
    <s v="Nearly want front shake."/>
    <x v="6"/>
    <n v="877"/>
    <x v="0"/>
    <x v="4"/>
    <n v="2021"/>
    <n v="-877"/>
  </r>
  <r>
    <d v="2021-05-12T00:00:00"/>
    <s v="Leave run goal cause."/>
    <x v="2"/>
    <n v="797.58"/>
    <x v="0"/>
    <x v="4"/>
    <n v="2021"/>
    <n v="-797.58"/>
  </r>
  <r>
    <d v="2021-05-14T00:00:00"/>
    <s v="Contain threat wrong whatever."/>
    <x v="7"/>
    <n v="450.93"/>
    <x v="0"/>
    <x v="4"/>
    <n v="2021"/>
    <n v="-450.93"/>
  </r>
  <r>
    <d v="2021-05-14T00:00:00"/>
    <s v="Stuff avoid."/>
    <x v="2"/>
    <n v="1025.8599999999999"/>
    <x v="0"/>
    <x v="4"/>
    <n v="2021"/>
    <n v="-1025.8599999999999"/>
  </r>
  <r>
    <d v="2021-05-15T00:00:00"/>
    <s v="Include successful."/>
    <x v="3"/>
    <n v="3362"/>
    <x v="1"/>
    <x v="4"/>
    <n v="2021"/>
    <n v="3362"/>
  </r>
  <r>
    <d v="2021-05-17T00:00:00"/>
    <s v="Religious across."/>
    <x v="1"/>
    <n v="480.18"/>
    <x v="0"/>
    <x v="4"/>
    <n v="2021"/>
    <n v="-480.18"/>
  </r>
  <r>
    <d v="2021-05-19T00:00:00"/>
    <s v="Health pay project pattern."/>
    <x v="3"/>
    <n v="1921"/>
    <x v="1"/>
    <x v="4"/>
    <n v="2021"/>
    <n v="1921"/>
  </r>
  <r>
    <d v="2021-05-22T00:00:00"/>
    <s v="Administration mother in admit."/>
    <x v="2"/>
    <n v="362.52"/>
    <x v="0"/>
    <x v="4"/>
    <n v="2021"/>
    <n v="-362.52"/>
  </r>
  <r>
    <d v="2021-05-23T00:00:00"/>
    <s v="Within admit spend purpose south."/>
    <x v="8"/>
    <n v="933.27"/>
    <x v="0"/>
    <x v="4"/>
    <n v="2021"/>
    <n v="-933.27"/>
  </r>
  <r>
    <d v="2021-05-24T00:00:00"/>
    <s v="Truth modern."/>
    <x v="8"/>
    <n v="1365.46"/>
    <x v="0"/>
    <x v="4"/>
    <n v="2021"/>
    <n v="-1365.46"/>
  </r>
  <r>
    <d v="2021-05-24T00:00:00"/>
    <s v="People education great."/>
    <x v="7"/>
    <n v="1729.85"/>
    <x v="0"/>
    <x v="4"/>
    <n v="2021"/>
    <n v="-1729.85"/>
  </r>
  <r>
    <d v="2021-05-24T00:00:00"/>
    <s v="Health image."/>
    <x v="1"/>
    <n v="885.13"/>
    <x v="0"/>
    <x v="4"/>
    <n v="2021"/>
    <n v="-885.13"/>
  </r>
  <r>
    <d v="2021-05-25T00:00:00"/>
    <s v="Wrong difficult range."/>
    <x v="9"/>
    <n v="1594.7"/>
    <x v="0"/>
    <x v="4"/>
    <n v="2021"/>
    <n v="-1594.7"/>
  </r>
  <r>
    <d v="2021-05-25T00:00:00"/>
    <s v="Behavior here."/>
    <x v="7"/>
    <n v="1019.6"/>
    <x v="0"/>
    <x v="4"/>
    <n v="2021"/>
    <n v="-1019.6"/>
  </r>
  <r>
    <d v="2021-05-27T00:00:00"/>
    <s v="Argue act commercial matter."/>
    <x v="8"/>
    <n v="84.84"/>
    <x v="0"/>
    <x v="4"/>
    <n v="2021"/>
    <n v="-84.84"/>
  </r>
  <r>
    <d v="2021-05-27T00:00:00"/>
    <s v="Not teach believe month."/>
    <x v="9"/>
    <n v="162.69"/>
    <x v="0"/>
    <x v="4"/>
    <n v="2021"/>
    <n v="-162.69"/>
  </r>
  <r>
    <d v="2021-05-29T00:00:00"/>
    <s v="Deep test thought."/>
    <x v="2"/>
    <n v="1233.8699999999999"/>
    <x v="0"/>
    <x v="4"/>
    <n v="2021"/>
    <n v="-1233.8699999999999"/>
  </r>
  <r>
    <d v="2021-05-30T00:00:00"/>
    <s v="Another avoid understand."/>
    <x v="8"/>
    <n v="1164.8599999999999"/>
    <x v="0"/>
    <x v="4"/>
    <n v="2021"/>
    <n v="-1164.8599999999999"/>
  </r>
  <r>
    <d v="2021-05-31T00:00:00"/>
    <s v="Probably conference sure administration debate."/>
    <x v="0"/>
    <n v="904.97"/>
    <x v="0"/>
    <x v="4"/>
    <n v="2021"/>
    <n v="-904.97"/>
  </r>
  <r>
    <d v="2021-05-31T00:00:00"/>
    <s v="Up federal nor note."/>
    <x v="6"/>
    <n v="649.84"/>
    <x v="0"/>
    <x v="4"/>
    <n v="2021"/>
    <n v="-649.84"/>
  </r>
  <r>
    <d v="2021-06-02T00:00:00"/>
    <s v="Forward sense cause write right."/>
    <x v="1"/>
    <n v="1915.87"/>
    <x v="0"/>
    <x v="5"/>
    <n v="2021"/>
    <n v="-1915.87"/>
  </r>
  <r>
    <d v="2021-06-02T00:00:00"/>
    <s v="Approach join stuff future."/>
    <x v="7"/>
    <n v="1964.95"/>
    <x v="0"/>
    <x v="5"/>
    <n v="2021"/>
    <n v="-1964.95"/>
  </r>
  <r>
    <d v="2021-06-03T00:00:00"/>
    <s v="Ahead event yeah make."/>
    <x v="3"/>
    <n v="820"/>
    <x v="1"/>
    <x v="5"/>
    <n v="2021"/>
    <n v="820"/>
  </r>
  <r>
    <d v="2021-06-06T00:00:00"/>
    <s v="Wait it quickly produce beat."/>
    <x v="8"/>
    <n v="1982.06"/>
    <x v="0"/>
    <x v="5"/>
    <n v="2021"/>
    <n v="-1982.06"/>
  </r>
  <r>
    <d v="2021-06-06T00:00:00"/>
    <s v="Require bank child."/>
    <x v="1"/>
    <n v="734.16"/>
    <x v="0"/>
    <x v="5"/>
    <n v="2021"/>
    <n v="-734.16"/>
  </r>
  <r>
    <d v="2021-06-06T00:00:00"/>
    <s v="First blood accept final."/>
    <x v="4"/>
    <n v="823.45"/>
    <x v="0"/>
    <x v="5"/>
    <n v="2021"/>
    <n v="-823.45"/>
  </r>
  <r>
    <d v="2021-06-09T00:00:00"/>
    <s v="Bill beautiful issue."/>
    <x v="0"/>
    <n v="1580.56"/>
    <x v="0"/>
    <x v="5"/>
    <n v="2021"/>
    <n v="-1580.56"/>
  </r>
  <r>
    <d v="2021-06-11T00:00:00"/>
    <s v="Mention billion bed never others."/>
    <x v="2"/>
    <n v="666.08"/>
    <x v="0"/>
    <x v="5"/>
    <n v="2021"/>
    <n v="-666.08"/>
  </r>
  <r>
    <d v="2021-06-11T00:00:00"/>
    <s v="Activity including single right."/>
    <x v="4"/>
    <n v="575.45000000000005"/>
    <x v="0"/>
    <x v="5"/>
    <n v="2021"/>
    <n v="-575.45000000000005"/>
  </r>
  <r>
    <d v="2021-06-14T00:00:00"/>
    <s v="Occur college herself."/>
    <x v="1"/>
    <n v="673.39"/>
    <x v="0"/>
    <x v="5"/>
    <n v="2021"/>
    <n v="-673.39"/>
  </r>
  <r>
    <d v="2021-06-15T00:00:00"/>
    <s v="Feeling manage as."/>
    <x v="1"/>
    <n v="1834.33"/>
    <x v="0"/>
    <x v="5"/>
    <n v="2021"/>
    <n v="-1834.33"/>
  </r>
  <r>
    <d v="2021-06-16T00:00:00"/>
    <s v="Inside machine baby."/>
    <x v="4"/>
    <n v="266.61"/>
    <x v="0"/>
    <x v="5"/>
    <n v="2021"/>
    <n v="-266.61"/>
  </r>
  <r>
    <d v="2021-06-20T00:00:00"/>
    <s v="Result many pattern."/>
    <x v="2"/>
    <n v="626.07000000000005"/>
    <x v="0"/>
    <x v="5"/>
    <n v="2021"/>
    <n v="-626.07000000000005"/>
  </r>
  <r>
    <d v="2021-06-20T00:00:00"/>
    <s v="Career according."/>
    <x v="7"/>
    <n v="1628.24"/>
    <x v="0"/>
    <x v="5"/>
    <n v="2021"/>
    <n v="-1628.24"/>
  </r>
  <r>
    <d v="2021-06-22T00:00:00"/>
    <s v="Success here television key."/>
    <x v="2"/>
    <n v="1295.5899999999999"/>
    <x v="0"/>
    <x v="5"/>
    <n v="2021"/>
    <n v="-1295.5899999999999"/>
  </r>
  <r>
    <d v="2021-06-23T00:00:00"/>
    <s v="Carry fly water cut fire."/>
    <x v="7"/>
    <n v="46.28"/>
    <x v="0"/>
    <x v="5"/>
    <n v="2021"/>
    <n v="-46.28"/>
  </r>
  <r>
    <d v="2021-06-24T00:00:00"/>
    <s v="Fact reason make office."/>
    <x v="6"/>
    <n v="690.05"/>
    <x v="0"/>
    <x v="5"/>
    <n v="2021"/>
    <n v="-690.05"/>
  </r>
  <r>
    <d v="2021-06-26T00:00:00"/>
    <s v="Heavy staff hotel box."/>
    <x v="6"/>
    <n v="460.82"/>
    <x v="0"/>
    <x v="5"/>
    <n v="2021"/>
    <n v="-460.82"/>
  </r>
  <r>
    <d v="2021-06-27T00:00:00"/>
    <s v="Or nation race."/>
    <x v="3"/>
    <n v="2923"/>
    <x v="1"/>
    <x v="5"/>
    <n v="2021"/>
    <n v="2923"/>
  </r>
  <r>
    <d v="2021-06-28T00:00:00"/>
    <s v="Well left."/>
    <x v="2"/>
    <n v="1020.3"/>
    <x v="0"/>
    <x v="5"/>
    <n v="2021"/>
    <n v="-1020.3"/>
  </r>
  <r>
    <d v="2021-06-28T00:00:00"/>
    <s v="Something story attorney summer."/>
    <x v="0"/>
    <n v="1327.24"/>
    <x v="0"/>
    <x v="5"/>
    <n v="2021"/>
    <n v="-1327.24"/>
  </r>
  <r>
    <d v="2021-06-28T00:00:00"/>
    <s v="Cause field education child."/>
    <x v="1"/>
    <n v="1198.52"/>
    <x v="0"/>
    <x v="5"/>
    <n v="2021"/>
    <n v="-1198.52"/>
  </r>
  <r>
    <d v="2021-06-28T00:00:00"/>
    <s v="Available wrong look husband."/>
    <x v="3"/>
    <n v="1856"/>
    <x v="1"/>
    <x v="5"/>
    <n v="2021"/>
    <n v="1856"/>
  </r>
  <r>
    <d v="2021-06-29T00:00:00"/>
    <s v="Myself so growth time."/>
    <x v="0"/>
    <n v="827.61"/>
    <x v="0"/>
    <x v="5"/>
    <n v="2021"/>
    <n v="-827.61"/>
  </r>
  <r>
    <d v="2021-07-04T00:00:00"/>
    <s v="Point be shoulder price great."/>
    <x v="6"/>
    <n v="1939.48"/>
    <x v="0"/>
    <x v="6"/>
    <n v="2021"/>
    <n v="-1939.48"/>
  </r>
  <r>
    <d v="2021-07-04T00:00:00"/>
    <s v="Worker quality hundred sell whole."/>
    <x v="8"/>
    <n v="475.67"/>
    <x v="0"/>
    <x v="6"/>
    <n v="2021"/>
    <n v="-475.67"/>
  </r>
  <r>
    <d v="2021-07-04T00:00:00"/>
    <s v="Action else."/>
    <x v="8"/>
    <n v="1808.91"/>
    <x v="0"/>
    <x v="6"/>
    <n v="2021"/>
    <n v="-1808.91"/>
  </r>
  <r>
    <d v="2021-07-06T00:00:00"/>
    <s v="Newspaper reach determine hear leg."/>
    <x v="5"/>
    <n v="4282"/>
    <x v="1"/>
    <x v="6"/>
    <n v="2021"/>
    <n v="4282"/>
  </r>
  <r>
    <d v="2021-07-07T00:00:00"/>
    <s v="General agency bit."/>
    <x v="4"/>
    <n v="1010.78"/>
    <x v="0"/>
    <x v="6"/>
    <n v="2021"/>
    <n v="-1010.78"/>
  </r>
  <r>
    <d v="2021-07-09T00:00:00"/>
    <s v="Break wait."/>
    <x v="1"/>
    <n v="1635.61"/>
    <x v="0"/>
    <x v="6"/>
    <n v="2021"/>
    <n v="-1635.61"/>
  </r>
  <r>
    <d v="2021-07-09T00:00:00"/>
    <s v="Find lay deal lot."/>
    <x v="1"/>
    <n v="1747.27"/>
    <x v="0"/>
    <x v="6"/>
    <n v="2021"/>
    <n v="-1747.27"/>
  </r>
  <r>
    <d v="2021-07-10T00:00:00"/>
    <s v="Just recent."/>
    <x v="5"/>
    <n v="3540"/>
    <x v="1"/>
    <x v="6"/>
    <n v="2021"/>
    <n v="3540"/>
  </r>
  <r>
    <d v="2021-07-10T00:00:00"/>
    <s v="Feel special."/>
    <x v="2"/>
    <n v="1425.69"/>
    <x v="0"/>
    <x v="6"/>
    <n v="2021"/>
    <n v="-1425.69"/>
  </r>
  <r>
    <d v="2021-07-11T00:00:00"/>
    <s v="Support possible."/>
    <x v="2"/>
    <n v="577.28"/>
    <x v="0"/>
    <x v="6"/>
    <n v="2021"/>
    <n v="-577.28"/>
  </r>
  <r>
    <d v="2021-07-11T00:00:00"/>
    <s v="Might necessary former."/>
    <x v="9"/>
    <n v="904.15"/>
    <x v="0"/>
    <x v="6"/>
    <n v="2021"/>
    <n v="-904.15"/>
  </r>
  <r>
    <d v="2021-07-11T00:00:00"/>
    <s v="Discussion if continue policy."/>
    <x v="4"/>
    <n v="192.51"/>
    <x v="0"/>
    <x v="6"/>
    <n v="2021"/>
    <n v="-192.51"/>
  </r>
  <r>
    <d v="2021-07-12T00:00:00"/>
    <s v="Ahead pass culture or."/>
    <x v="8"/>
    <n v="1770.41"/>
    <x v="0"/>
    <x v="6"/>
    <n v="2021"/>
    <n v="-1770.41"/>
  </r>
  <r>
    <d v="2021-07-13T00:00:00"/>
    <s v="Relate day."/>
    <x v="4"/>
    <n v="115.98"/>
    <x v="0"/>
    <x v="6"/>
    <n v="2021"/>
    <n v="-115.98"/>
  </r>
  <r>
    <d v="2021-07-14T00:00:00"/>
    <s v="Big the cost for leader."/>
    <x v="6"/>
    <n v="778.47"/>
    <x v="0"/>
    <x v="6"/>
    <n v="2021"/>
    <n v="-778.47"/>
  </r>
  <r>
    <d v="2021-07-15T00:00:00"/>
    <s v="Month police others particularly."/>
    <x v="3"/>
    <n v="730"/>
    <x v="1"/>
    <x v="6"/>
    <n v="2021"/>
    <n v="730"/>
  </r>
  <r>
    <d v="2021-07-19T00:00:00"/>
    <s v="Girl suddenly."/>
    <x v="2"/>
    <n v="1679.96"/>
    <x v="0"/>
    <x v="6"/>
    <n v="2021"/>
    <n v="-1679.96"/>
  </r>
  <r>
    <d v="2021-07-19T00:00:00"/>
    <s v="Try opportunity public."/>
    <x v="1"/>
    <n v="283.82"/>
    <x v="0"/>
    <x v="6"/>
    <n v="2021"/>
    <n v="-283.82"/>
  </r>
  <r>
    <d v="2021-07-23T00:00:00"/>
    <s v="Draw bring health."/>
    <x v="8"/>
    <n v="1395.18"/>
    <x v="0"/>
    <x v="6"/>
    <n v="2021"/>
    <n v="-1395.18"/>
  </r>
  <r>
    <d v="2021-07-23T00:00:00"/>
    <s v="Home others offer institution main."/>
    <x v="5"/>
    <n v="4174"/>
    <x v="1"/>
    <x v="6"/>
    <n v="2021"/>
    <n v="4174"/>
  </r>
  <r>
    <d v="2021-07-24T00:00:00"/>
    <s v="Never majority cell."/>
    <x v="2"/>
    <n v="47.82"/>
    <x v="0"/>
    <x v="6"/>
    <n v="2021"/>
    <n v="-47.82"/>
  </r>
  <r>
    <d v="2021-07-28T00:00:00"/>
    <s v="People tend weight machine."/>
    <x v="1"/>
    <n v="1102.1199999999999"/>
    <x v="0"/>
    <x v="6"/>
    <n v="2021"/>
    <n v="-1102.1199999999999"/>
  </r>
  <r>
    <d v="2021-07-29T00:00:00"/>
    <s v="White measure manager range."/>
    <x v="4"/>
    <n v="231.26"/>
    <x v="0"/>
    <x v="6"/>
    <n v="2021"/>
    <n v="-231.26"/>
  </r>
  <r>
    <d v="2021-08-02T00:00:00"/>
    <s v="Major bar air set."/>
    <x v="9"/>
    <n v="252.48"/>
    <x v="0"/>
    <x v="7"/>
    <n v="2021"/>
    <n v="-252.48"/>
  </r>
  <r>
    <d v="2021-08-06T00:00:00"/>
    <s v="Ever mrs."/>
    <x v="8"/>
    <n v="134.99"/>
    <x v="0"/>
    <x v="7"/>
    <n v="2021"/>
    <n v="-134.99"/>
  </r>
  <r>
    <d v="2021-08-07T00:00:00"/>
    <s v="Not significant manager member."/>
    <x v="8"/>
    <n v="1197.51"/>
    <x v="0"/>
    <x v="7"/>
    <n v="2021"/>
    <n v="-1197.51"/>
  </r>
  <r>
    <d v="2021-08-07T00:00:00"/>
    <s v="Environmental myself."/>
    <x v="3"/>
    <n v="1676"/>
    <x v="1"/>
    <x v="7"/>
    <n v="2021"/>
    <n v="1676"/>
  </r>
  <r>
    <d v="2021-08-08T00:00:00"/>
    <s v="State among rest national wrong."/>
    <x v="0"/>
    <n v="1233.47"/>
    <x v="0"/>
    <x v="7"/>
    <n v="2021"/>
    <n v="-1233.47"/>
  </r>
  <r>
    <d v="2021-08-09T00:00:00"/>
    <s v="Fear yourself last."/>
    <x v="4"/>
    <n v="382.75"/>
    <x v="0"/>
    <x v="7"/>
    <n v="2021"/>
    <n v="-382.75"/>
  </r>
  <r>
    <d v="2021-08-11T00:00:00"/>
    <s v="Keep yes."/>
    <x v="7"/>
    <n v="144.68"/>
    <x v="0"/>
    <x v="7"/>
    <n v="2021"/>
    <n v="-144.68"/>
  </r>
  <r>
    <d v="2021-08-13T00:00:00"/>
    <s v="Specific onto go."/>
    <x v="0"/>
    <n v="787"/>
    <x v="0"/>
    <x v="7"/>
    <n v="2021"/>
    <n v="-787"/>
  </r>
  <r>
    <d v="2021-08-13T00:00:00"/>
    <s v="Pattern size spend."/>
    <x v="4"/>
    <n v="1962.27"/>
    <x v="0"/>
    <x v="7"/>
    <n v="2021"/>
    <n v="-1962.27"/>
  </r>
  <r>
    <d v="2021-08-15T00:00:00"/>
    <s v="Go exactly much food region."/>
    <x v="0"/>
    <n v="720.62"/>
    <x v="0"/>
    <x v="7"/>
    <n v="2021"/>
    <n v="-720.62"/>
  </r>
  <r>
    <d v="2021-08-16T00:00:00"/>
    <s v="Environment teach world quickly believe."/>
    <x v="3"/>
    <n v="1349"/>
    <x v="1"/>
    <x v="7"/>
    <n v="2021"/>
    <n v="1349"/>
  </r>
  <r>
    <d v="2021-08-18T00:00:00"/>
    <s v="Yeah term."/>
    <x v="7"/>
    <n v="275.49"/>
    <x v="0"/>
    <x v="7"/>
    <n v="2021"/>
    <n v="-275.49"/>
  </r>
  <r>
    <d v="2021-08-20T00:00:00"/>
    <s v="Economic represent stock."/>
    <x v="7"/>
    <n v="1628.88"/>
    <x v="0"/>
    <x v="7"/>
    <n v="2021"/>
    <n v="-1628.88"/>
  </r>
  <r>
    <d v="2021-08-21T00:00:00"/>
    <s v="Central plan physical heart."/>
    <x v="5"/>
    <n v="4420"/>
    <x v="1"/>
    <x v="7"/>
    <n v="2021"/>
    <n v="4420"/>
  </r>
  <r>
    <d v="2021-08-21T00:00:00"/>
    <s v="Idea seek."/>
    <x v="1"/>
    <n v="135.57"/>
    <x v="0"/>
    <x v="7"/>
    <n v="2021"/>
    <n v="-135.57"/>
  </r>
  <r>
    <d v="2021-08-22T00:00:00"/>
    <s v="Wear force able similar."/>
    <x v="8"/>
    <n v="83.6"/>
    <x v="0"/>
    <x v="7"/>
    <n v="2021"/>
    <n v="-83.6"/>
  </r>
  <r>
    <d v="2021-08-23T00:00:00"/>
    <s v="Play recently sure somebody."/>
    <x v="6"/>
    <n v="1772.72"/>
    <x v="0"/>
    <x v="7"/>
    <n v="2021"/>
    <n v="-1772.72"/>
  </r>
  <r>
    <d v="2021-08-24T00:00:00"/>
    <s v="Why station manager."/>
    <x v="9"/>
    <n v="1035.6099999999999"/>
    <x v="0"/>
    <x v="7"/>
    <n v="2021"/>
    <n v="-1035.6099999999999"/>
  </r>
  <r>
    <d v="2021-08-25T00:00:00"/>
    <s v="Front official not."/>
    <x v="8"/>
    <n v="514.09"/>
    <x v="0"/>
    <x v="7"/>
    <n v="2021"/>
    <n v="-514.09"/>
  </r>
  <r>
    <d v="2021-08-27T00:00:00"/>
    <s v="Thus several animal phone."/>
    <x v="6"/>
    <n v="579.36"/>
    <x v="0"/>
    <x v="7"/>
    <n v="2021"/>
    <n v="-579.36"/>
  </r>
  <r>
    <d v="2021-08-29T00:00:00"/>
    <s v="Buy tax."/>
    <x v="0"/>
    <n v="1732.94"/>
    <x v="0"/>
    <x v="7"/>
    <n v="2021"/>
    <n v="-1732.94"/>
  </r>
  <r>
    <d v="2021-09-05T00:00:00"/>
    <s v="A when dark read."/>
    <x v="2"/>
    <n v="1600.69"/>
    <x v="0"/>
    <x v="8"/>
    <n v="2021"/>
    <n v="-1600.69"/>
  </r>
  <r>
    <d v="2021-09-06T00:00:00"/>
    <s v="City usually ever."/>
    <x v="4"/>
    <n v="1489.18"/>
    <x v="0"/>
    <x v="8"/>
    <n v="2021"/>
    <n v="-1489.18"/>
  </r>
  <r>
    <d v="2021-09-09T00:00:00"/>
    <s v="Bar professor power."/>
    <x v="4"/>
    <n v="684.68"/>
    <x v="0"/>
    <x v="8"/>
    <n v="2021"/>
    <n v="-684.68"/>
  </r>
  <r>
    <d v="2021-09-09T00:00:00"/>
    <s v="Personal rise sense investment."/>
    <x v="5"/>
    <n v="3509"/>
    <x v="1"/>
    <x v="8"/>
    <n v="2021"/>
    <n v="3509"/>
  </r>
  <r>
    <d v="2021-09-09T00:00:00"/>
    <s v="Ability live."/>
    <x v="9"/>
    <n v="1604.28"/>
    <x v="0"/>
    <x v="8"/>
    <n v="2021"/>
    <n v="-1604.28"/>
  </r>
  <r>
    <d v="2021-09-10T00:00:00"/>
    <s v="Difficult quite act receive stage."/>
    <x v="2"/>
    <n v="866.91"/>
    <x v="0"/>
    <x v="8"/>
    <n v="2021"/>
    <n v="-866.91"/>
  </r>
  <r>
    <d v="2021-09-11T00:00:00"/>
    <s v="Local director become."/>
    <x v="1"/>
    <n v="1095.49"/>
    <x v="0"/>
    <x v="8"/>
    <n v="2021"/>
    <n v="-1095.49"/>
  </r>
  <r>
    <d v="2021-09-11T00:00:00"/>
    <s v="Finish thing."/>
    <x v="2"/>
    <n v="662.56"/>
    <x v="0"/>
    <x v="8"/>
    <n v="2021"/>
    <n v="-662.56"/>
  </r>
  <r>
    <d v="2021-09-11T00:00:00"/>
    <s v="Similar send card year."/>
    <x v="8"/>
    <n v="1209.22"/>
    <x v="0"/>
    <x v="8"/>
    <n v="2021"/>
    <n v="-1209.22"/>
  </r>
  <r>
    <d v="2021-09-11T00:00:00"/>
    <s v="Most across."/>
    <x v="8"/>
    <n v="709.58"/>
    <x v="0"/>
    <x v="8"/>
    <n v="2021"/>
    <n v="-709.58"/>
  </r>
  <r>
    <d v="2021-09-15T00:00:00"/>
    <s v="Goal defense security turn."/>
    <x v="5"/>
    <n v="4063"/>
    <x v="1"/>
    <x v="8"/>
    <n v="2021"/>
    <n v="4063"/>
  </r>
  <r>
    <d v="2021-09-16T00:00:00"/>
    <s v="Beautiful beyond sell."/>
    <x v="0"/>
    <n v="159.33000000000001"/>
    <x v="0"/>
    <x v="8"/>
    <n v="2021"/>
    <n v="-159.33000000000001"/>
  </r>
  <r>
    <d v="2021-09-16T00:00:00"/>
    <s v="White fire cause everybody."/>
    <x v="7"/>
    <n v="1031.04"/>
    <x v="0"/>
    <x v="8"/>
    <n v="2021"/>
    <n v="-1031.04"/>
  </r>
  <r>
    <d v="2021-09-17T00:00:00"/>
    <s v="Network outside parent."/>
    <x v="1"/>
    <n v="1906.05"/>
    <x v="0"/>
    <x v="8"/>
    <n v="2021"/>
    <n v="-1906.05"/>
  </r>
  <r>
    <d v="2021-09-17T00:00:00"/>
    <s v="Day parent country."/>
    <x v="5"/>
    <n v="785"/>
    <x v="1"/>
    <x v="8"/>
    <n v="2021"/>
    <n v="785"/>
  </r>
  <r>
    <d v="2021-09-19T00:00:00"/>
    <s v="Position six soldier."/>
    <x v="3"/>
    <n v="3500"/>
    <x v="1"/>
    <x v="8"/>
    <n v="2021"/>
    <n v="3500"/>
  </r>
  <r>
    <d v="2021-09-19T00:00:00"/>
    <s v="History drop point audience."/>
    <x v="0"/>
    <n v="1214.1400000000001"/>
    <x v="0"/>
    <x v="8"/>
    <n v="2021"/>
    <n v="-1214.1400000000001"/>
  </r>
  <r>
    <d v="2021-09-19T00:00:00"/>
    <s v="Value car team nothing."/>
    <x v="7"/>
    <n v="750.31"/>
    <x v="0"/>
    <x v="8"/>
    <n v="2021"/>
    <n v="-750.31"/>
  </r>
  <r>
    <d v="2021-09-19T00:00:00"/>
    <s v="Raise several west side admit."/>
    <x v="1"/>
    <n v="1063.6300000000001"/>
    <x v="0"/>
    <x v="8"/>
    <n v="2021"/>
    <n v="-1063.6300000000001"/>
  </r>
  <r>
    <d v="2021-09-20T00:00:00"/>
    <s v="Energy always."/>
    <x v="9"/>
    <n v="506.73"/>
    <x v="0"/>
    <x v="8"/>
    <n v="2021"/>
    <n v="-506.73"/>
  </r>
  <r>
    <d v="2021-09-21T00:00:00"/>
    <s v="Media pick may indeed."/>
    <x v="3"/>
    <n v="4588"/>
    <x v="1"/>
    <x v="8"/>
    <n v="2021"/>
    <n v="4588"/>
  </r>
  <r>
    <d v="2021-09-28T00:00:00"/>
    <s v="Policy mrs."/>
    <x v="2"/>
    <n v="530.94000000000005"/>
    <x v="0"/>
    <x v="8"/>
    <n v="2021"/>
    <n v="-530.94000000000005"/>
  </r>
  <r>
    <d v="2021-10-01T00:00:00"/>
    <s v="Base bad tv."/>
    <x v="8"/>
    <n v="437"/>
    <x v="0"/>
    <x v="9"/>
    <n v="2021"/>
    <n v="-437"/>
  </r>
  <r>
    <d v="2021-10-07T00:00:00"/>
    <s v="Force only shake power poor."/>
    <x v="8"/>
    <n v="408.35"/>
    <x v="0"/>
    <x v="9"/>
    <n v="2021"/>
    <n v="-408.35"/>
  </r>
  <r>
    <d v="2021-10-08T00:00:00"/>
    <s v="Role suffer around beat."/>
    <x v="3"/>
    <n v="4203"/>
    <x v="1"/>
    <x v="9"/>
    <n v="2021"/>
    <n v="4203"/>
  </r>
  <r>
    <d v="2021-10-13T00:00:00"/>
    <s v="Law participant."/>
    <x v="5"/>
    <n v="1219"/>
    <x v="1"/>
    <x v="9"/>
    <n v="2021"/>
    <n v="1219"/>
  </r>
  <r>
    <d v="2021-10-13T00:00:00"/>
    <s v="Budget remain reduce."/>
    <x v="7"/>
    <n v="1339"/>
    <x v="0"/>
    <x v="9"/>
    <n v="2021"/>
    <n v="-1339"/>
  </r>
  <r>
    <d v="2021-10-13T00:00:00"/>
    <s v="Well mission situation result."/>
    <x v="9"/>
    <n v="1783.75"/>
    <x v="0"/>
    <x v="9"/>
    <n v="2021"/>
    <n v="-1783.75"/>
  </r>
  <r>
    <d v="2021-10-16T00:00:00"/>
    <s v="Camera sit environmental though."/>
    <x v="1"/>
    <n v="1589.46"/>
    <x v="0"/>
    <x v="9"/>
    <n v="2021"/>
    <n v="-1589.46"/>
  </r>
  <r>
    <d v="2021-10-20T00:00:00"/>
    <s v="Southern evening ask republican."/>
    <x v="2"/>
    <n v="1970.41"/>
    <x v="0"/>
    <x v="9"/>
    <n v="2021"/>
    <n v="-1970.41"/>
  </r>
  <r>
    <d v="2021-10-21T00:00:00"/>
    <s v="Baby lawyer growth matter note."/>
    <x v="6"/>
    <n v="1582.84"/>
    <x v="0"/>
    <x v="9"/>
    <n v="2021"/>
    <n v="-1582.84"/>
  </r>
  <r>
    <d v="2021-10-22T00:00:00"/>
    <s v="Effort bill off."/>
    <x v="5"/>
    <n v="4328"/>
    <x v="1"/>
    <x v="9"/>
    <n v="2021"/>
    <n v="4328"/>
  </r>
  <r>
    <d v="2021-10-24T00:00:00"/>
    <s v="Scientist able teach."/>
    <x v="1"/>
    <n v="1227.78"/>
    <x v="0"/>
    <x v="9"/>
    <n v="2021"/>
    <n v="-1227.78"/>
  </r>
  <r>
    <d v="2021-10-24T00:00:00"/>
    <s v="Animal hair turn."/>
    <x v="5"/>
    <n v="3761"/>
    <x v="1"/>
    <x v="9"/>
    <n v="2021"/>
    <n v="3761"/>
  </r>
  <r>
    <d v="2021-10-27T00:00:00"/>
    <s v="Need trial."/>
    <x v="8"/>
    <n v="1056.1300000000001"/>
    <x v="0"/>
    <x v="9"/>
    <n v="2021"/>
    <n v="-1056.1300000000001"/>
  </r>
  <r>
    <d v="2021-10-27T00:00:00"/>
    <s v="Focus indicate result."/>
    <x v="2"/>
    <n v="259.39999999999998"/>
    <x v="0"/>
    <x v="9"/>
    <n v="2021"/>
    <n v="-259.39999999999998"/>
  </r>
  <r>
    <d v="2021-10-30T00:00:00"/>
    <s v="Number budget."/>
    <x v="2"/>
    <n v="905.45"/>
    <x v="0"/>
    <x v="9"/>
    <n v="2021"/>
    <n v="-905.45"/>
  </r>
  <r>
    <d v="2021-11-03T00:00:00"/>
    <s v="Development middle animal."/>
    <x v="7"/>
    <n v="265.39"/>
    <x v="0"/>
    <x v="10"/>
    <n v="2021"/>
    <n v="-265.39"/>
  </r>
  <r>
    <d v="2021-11-04T00:00:00"/>
    <s v="Theory tend."/>
    <x v="1"/>
    <n v="1537.89"/>
    <x v="0"/>
    <x v="10"/>
    <n v="2021"/>
    <n v="-1537.89"/>
  </r>
  <r>
    <d v="2021-11-05T00:00:00"/>
    <s v="Beat lead hard factor."/>
    <x v="3"/>
    <n v="1517"/>
    <x v="1"/>
    <x v="10"/>
    <n v="2021"/>
    <n v="1517"/>
  </r>
  <r>
    <d v="2021-11-05T00:00:00"/>
    <s v="Drug happy will young simply."/>
    <x v="9"/>
    <n v="337.67"/>
    <x v="0"/>
    <x v="10"/>
    <n v="2021"/>
    <n v="-337.67"/>
  </r>
  <r>
    <d v="2021-11-06T00:00:00"/>
    <s v="Character usually agency."/>
    <x v="6"/>
    <n v="698.59"/>
    <x v="0"/>
    <x v="10"/>
    <n v="2021"/>
    <n v="-698.59"/>
  </r>
  <r>
    <d v="2021-11-07T00:00:00"/>
    <s v="Player really act friend."/>
    <x v="9"/>
    <n v="1693.41"/>
    <x v="0"/>
    <x v="10"/>
    <n v="2021"/>
    <n v="-1693.41"/>
  </r>
  <r>
    <d v="2021-11-10T00:00:00"/>
    <s v="Billion morning draw."/>
    <x v="9"/>
    <n v="259.08999999999997"/>
    <x v="0"/>
    <x v="10"/>
    <n v="2021"/>
    <n v="-259.08999999999997"/>
  </r>
  <r>
    <d v="2021-11-15T00:00:00"/>
    <s v="Win central."/>
    <x v="2"/>
    <n v="1010.12"/>
    <x v="0"/>
    <x v="10"/>
    <n v="2021"/>
    <n v="-1010.12"/>
  </r>
  <r>
    <d v="2021-11-16T00:00:00"/>
    <s v="Analysis discuss."/>
    <x v="3"/>
    <n v="1902"/>
    <x v="1"/>
    <x v="10"/>
    <n v="2021"/>
    <n v="1902"/>
  </r>
  <r>
    <d v="2021-11-17T00:00:00"/>
    <s v="Red head window be."/>
    <x v="7"/>
    <n v="1686.63"/>
    <x v="0"/>
    <x v="10"/>
    <n v="2021"/>
    <n v="-1686.63"/>
  </r>
  <r>
    <d v="2021-11-18T00:00:00"/>
    <s v="Card star avoid nothing."/>
    <x v="0"/>
    <n v="171.63"/>
    <x v="0"/>
    <x v="10"/>
    <n v="2021"/>
    <n v="-171.63"/>
  </r>
  <r>
    <d v="2021-11-18T00:00:00"/>
    <s v="Door end fire."/>
    <x v="9"/>
    <n v="1305.75"/>
    <x v="0"/>
    <x v="10"/>
    <n v="2021"/>
    <n v="-1305.75"/>
  </r>
  <r>
    <d v="2021-11-19T00:00:00"/>
    <s v="Fish evening avoid dark."/>
    <x v="4"/>
    <n v="1240.04"/>
    <x v="0"/>
    <x v="10"/>
    <n v="2021"/>
    <n v="-1240.04"/>
  </r>
  <r>
    <d v="2021-11-21T00:00:00"/>
    <s v="Choice clearly."/>
    <x v="5"/>
    <n v="2974"/>
    <x v="1"/>
    <x v="10"/>
    <n v="2021"/>
    <n v="2974"/>
  </r>
  <r>
    <d v="2021-11-21T00:00:00"/>
    <s v="Image movie who debate."/>
    <x v="4"/>
    <n v="601.89"/>
    <x v="0"/>
    <x v="10"/>
    <n v="2021"/>
    <n v="-601.89"/>
  </r>
  <r>
    <d v="2021-11-21T00:00:00"/>
    <s v="Enter build citizen rather."/>
    <x v="3"/>
    <n v="1794"/>
    <x v="1"/>
    <x v="10"/>
    <n v="2021"/>
    <n v="1794"/>
  </r>
  <r>
    <d v="2021-11-23T00:00:00"/>
    <s v="Structure foreign before."/>
    <x v="8"/>
    <n v="934.24"/>
    <x v="0"/>
    <x v="10"/>
    <n v="2021"/>
    <n v="-934.24"/>
  </r>
  <r>
    <d v="2021-11-26T00:00:00"/>
    <s v="How any federal star."/>
    <x v="1"/>
    <n v="632.04"/>
    <x v="0"/>
    <x v="10"/>
    <n v="2021"/>
    <n v="-632.04"/>
  </r>
  <r>
    <d v="2021-11-27T00:00:00"/>
    <s v="Weight take."/>
    <x v="7"/>
    <n v="1950.99"/>
    <x v="0"/>
    <x v="10"/>
    <n v="2021"/>
    <n v="-1950.99"/>
  </r>
  <r>
    <d v="2021-11-28T00:00:00"/>
    <s v="Economic left sound cause activity."/>
    <x v="5"/>
    <n v="4718"/>
    <x v="1"/>
    <x v="10"/>
    <n v="2021"/>
    <n v="4718"/>
  </r>
  <r>
    <d v="2021-12-01T00:00:00"/>
    <s v="Cup hundred rather."/>
    <x v="7"/>
    <n v="491.06"/>
    <x v="0"/>
    <x v="11"/>
    <n v="2021"/>
    <n v="-491.06"/>
  </r>
  <r>
    <d v="2021-12-02T00:00:00"/>
    <s v="Only true avoid young cup."/>
    <x v="5"/>
    <n v="2530"/>
    <x v="1"/>
    <x v="11"/>
    <n v="2021"/>
    <n v="2530"/>
  </r>
  <r>
    <d v="2021-12-03T00:00:00"/>
    <s v="Begin suggest speak."/>
    <x v="3"/>
    <n v="2877"/>
    <x v="1"/>
    <x v="11"/>
    <n v="2021"/>
    <n v="2877"/>
  </r>
  <r>
    <d v="2021-12-03T00:00:00"/>
    <s v="Walk anything."/>
    <x v="4"/>
    <n v="504.06"/>
    <x v="0"/>
    <x v="11"/>
    <n v="2021"/>
    <n v="-504.06"/>
  </r>
  <r>
    <d v="2021-12-08T00:00:00"/>
    <s v="Start house ahead raise."/>
    <x v="1"/>
    <n v="1628.82"/>
    <x v="0"/>
    <x v="11"/>
    <n v="2021"/>
    <n v="-1628.82"/>
  </r>
  <r>
    <d v="2021-12-09T00:00:00"/>
    <s v="Democrat cost evidence third."/>
    <x v="7"/>
    <n v="387.77"/>
    <x v="0"/>
    <x v="11"/>
    <n v="2021"/>
    <n v="-387.77"/>
  </r>
  <r>
    <d v="2021-12-09T00:00:00"/>
    <s v="People early far include nearly."/>
    <x v="5"/>
    <n v="4585"/>
    <x v="1"/>
    <x v="11"/>
    <n v="2021"/>
    <n v="4585"/>
  </r>
  <r>
    <d v="2021-12-11T00:00:00"/>
    <s v="Evidence case."/>
    <x v="8"/>
    <n v="56.12"/>
    <x v="0"/>
    <x v="11"/>
    <n v="2021"/>
    <n v="-56.12"/>
  </r>
  <r>
    <d v="2021-12-12T00:00:00"/>
    <s v="Eat yes myself affect him."/>
    <x v="8"/>
    <n v="1933.71"/>
    <x v="0"/>
    <x v="11"/>
    <n v="2021"/>
    <n v="-1933.71"/>
  </r>
  <r>
    <d v="2021-12-13T00:00:00"/>
    <s v="Name machine tree maybe."/>
    <x v="7"/>
    <n v="106.83"/>
    <x v="0"/>
    <x v="11"/>
    <n v="2021"/>
    <n v="-106.83"/>
  </r>
  <r>
    <d v="2021-12-13T00:00:00"/>
    <s v="Conference five despite."/>
    <x v="8"/>
    <n v="578.64"/>
    <x v="0"/>
    <x v="11"/>
    <n v="2021"/>
    <n v="-578.64"/>
  </r>
  <r>
    <d v="2021-12-15T00:00:00"/>
    <s v="Speak line."/>
    <x v="3"/>
    <n v="4030"/>
    <x v="1"/>
    <x v="11"/>
    <n v="2021"/>
    <n v="4030"/>
  </r>
  <r>
    <d v="2021-12-15T00:00:00"/>
    <s v="Yourself wind beyond prevent entire."/>
    <x v="5"/>
    <n v="3496"/>
    <x v="1"/>
    <x v="11"/>
    <n v="2021"/>
    <n v="3496"/>
  </r>
  <r>
    <d v="2021-12-16T00:00:00"/>
    <s v="Offer work home."/>
    <x v="7"/>
    <n v="100.03"/>
    <x v="0"/>
    <x v="11"/>
    <n v="2021"/>
    <n v="-100.03"/>
  </r>
  <r>
    <d v="2021-12-19T00:00:00"/>
    <s v="Door fish scene."/>
    <x v="3"/>
    <n v="3469"/>
    <x v="1"/>
    <x v="11"/>
    <n v="2021"/>
    <n v="3469"/>
  </r>
  <r>
    <d v="2021-12-20T00:00:00"/>
    <s v="Agreement red way nor none."/>
    <x v="2"/>
    <n v="778.83"/>
    <x v="0"/>
    <x v="11"/>
    <n v="2021"/>
    <n v="-778.83"/>
  </r>
  <r>
    <d v="2021-12-20T00:00:00"/>
    <s v="My compare also argue."/>
    <x v="9"/>
    <n v="1652.37"/>
    <x v="0"/>
    <x v="11"/>
    <n v="2021"/>
    <n v="-1652.37"/>
  </r>
  <r>
    <d v="2021-12-23T00:00:00"/>
    <s v="Money a."/>
    <x v="2"/>
    <n v="266.04000000000002"/>
    <x v="0"/>
    <x v="11"/>
    <n v="2021"/>
    <n v="-266.04000000000002"/>
  </r>
  <r>
    <d v="2021-12-24T00:00:00"/>
    <s v="Future concern sort."/>
    <x v="5"/>
    <n v="3277"/>
    <x v="1"/>
    <x v="11"/>
    <n v="2021"/>
    <n v="3277"/>
  </r>
  <r>
    <d v="2021-12-26T00:00:00"/>
    <s v="Against only."/>
    <x v="7"/>
    <n v="1512.38"/>
    <x v="0"/>
    <x v="11"/>
    <n v="2021"/>
    <n v="-1512.38"/>
  </r>
  <r>
    <d v="2021-12-28T00:00:00"/>
    <s v="Suffer team."/>
    <x v="5"/>
    <n v="4596"/>
    <x v="1"/>
    <x v="11"/>
    <n v="2021"/>
    <n v="4596"/>
  </r>
  <r>
    <d v="2021-12-31T00:00:00"/>
    <s v="Relate product only from."/>
    <x v="3"/>
    <n v="1622"/>
    <x v="1"/>
    <x v="11"/>
    <n v="2021"/>
    <n v="1622"/>
  </r>
  <r>
    <d v="2022-01-01T00:00:00"/>
    <s v="Wish run join."/>
    <x v="8"/>
    <n v="1043.47"/>
    <x v="0"/>
    <x v="0"/>
    <n v="2022"/>
    <n v="-1043.47"/>
  </r>
  <r>
    <d v="2022-01-03T00:00:00"/>
    <s v="Company why really up."/>
    <x v="3"/>
    <n v="3186"/>
    <x v="1"/>
    <x v="0"/>
    <n v="2022"/>
    <n v="3186"/>
  </r>
  <r>
    <d v="2022-01-03T00:00:00"/>
    <s v="Program sport her."/>
    <x v="7"/>
    <n v="333.38"/>
    <x v="0"/>
    <x v="0"/>
    <n v="2022"/>
    <n v="-333.38"/>
  </r>
  <r>
    <d v="2022-01-03T00:00:00"/>
    <s v="Concern ability reduce."/>
    <x v="9"/>
    <n v="1191.51"/>
    <x v="0"/>
    <x v="0"/>
    <n v="2022"/>
    <n v="-1191.51"/>
  </r>
  <r>
    <d v="2022-01-04T00:00:00"/>
    <s v="Surface side nothing consider."/>
    <x v="8"/>
    <n v="1420.39"/>
    <x v="0"/>
    <x v="0"/>
    <n v="2022"/>
    <n v="-1420.39"/>
  </r>
  <r>
    <d v="2022-01-05T00:00:00"/>
    <s v="Determine not view cell seat."/>
    <x v="0"/>
    <n v="743.03"/>
    <x v="0"/>
    <x v="0"/>
    <n v="2022"/>
    <n v="-743.03"/>
  </r>
  <r>
    <d v="2022-01-06T00:00:00"/>
    <s v="Word collection those become."/>
    <x v="4"/>
    <n v="1171.57"/>
    <x v="0"/>
    <x v="0"/>
    <n v="2022"/>
    <n v="-1171.57"/>
  </r>
  <r>
    <d v="2022-01-08T00:00:00"/>
    <s v="Activity decide really go."/>
    <x v="0"/>
    <n v="1197.8499999999999"/>
    <x v="0"/>
    <x v="0"/>
    <n v="2022"/>
    <n v="-1197.8499999999999"/>
  </r>
  <r>
    <d v="2022-01-09T00:00:00"/>
    <s v="Answer just."/>
    <x v="6"/>
    <n v="1445.59"/>
    <x v="0"/>
    <x v="0"/>
    <n v="2022"/>
    <n v="-1445.59"/>
  </r>
  <r>
    <d v="2022-01-13T00:00:00"/>
    <s v="This manage her."/>
    <x v="1"/>
    <n v="1053.22"/>
    <x v="0"/>
    <x v="0"/>
    <n v="2022"/>
    <n v="-1053.22"/>
  </r>
  <r>
    <d v="2022-01-13T00:00:00"/>
    <s v="Big look tell prepare."/>
    <x v="4"/>
    <n v="304.07"/>
    <x v="0"/>
    <x v="0"/>
    <n v="2022"/>
    <n v="-304.07"/>
  </r>
  <r>
    <d v="2022-01-14T00:00:00"/>
    <s v="Later son almost."/>
    <x v="0"/>
    <n v="1149.4100000000001"/>
    <x v="0"/>
    <x v="0"/>
    <n v="2022"/>
    <n v="-1149.4100000000001"/>
  </r>
  <r>
    <d v="2022-01-16T00:00:00"/>
    <s v="End bit game thousand."/>
    <x v="6"/>
    <n v="47.69"/>
    <x v="0"/>
    <x v="0"/>
    <n v="2022"/>
    <n v="-47.69"/>
  </r>
  <r>
    <d v="2022-01-16T00:00:00"/>
    <s v="Natural together."/>
    <x v="1"/>
    <n v="831.79"/>
    <x v="0"/>
    <x v="0"/>
    <n v="2022"/>
    <n v="-831.79"/>
  </r>
  <r>
    <d v="2022-01-18T00:00:00"/>
    <s v="Order party lot all."/>
    <x v="8"/>
    <n v="1746.91"/>
    <x v="0"/>
    <x v="0"/>
    <n v="2022"/>
    <n v="-1746.91"/>
  </r>
  <r>
    <d v="2022-01-18T00:00:00"/>
    <s v="Threat church big day couple."/>
    <x v="0"/>
    <n v="1414.49"/>
    <x v="0"/>
    <x v="0"/>
    <n v="2022"/>
    <n v="-1414.49"/>
  </r>
  <r>
    <d v="2022-01-21T00:00:00"/>
    <s v="Enter example down anyone occur."/>
    <x v="7"/>
    <n v="1996.26"/>
    <x v="0"/>
    <x v="0"/>
    <n v="2022"/>
    <n v="-1996.26"/>
  </r>
  <r>
    <d v="2022-01-21T00:00:00"/>
    <s v="Approach about because."/>
    <x v="4"/>
    <n v="634.37"/>
    <x v="0"/>
    <x v="0"/>
    <n v="2022"/>
    <n v="-634.37"/>
  </r>
  <r>
    <d v="2022-01-22T00:00:00"/>
    <s v="Best deal point."/>
    <x v="5"/>
    <n v="4975"/>
    <x v="1"/>
    <x v="0"/>
    <n v="2022"/>
    <n v="4975"/>
  </r>
  <r>
    <d v="2022-01-23T00:00:00"/>
    <s v="Such final however major."/>
    <x v="9"/>
    <n v="1224.05"/>
    <x v="0"/>
    <x v="0"/>
    <n v="2022"/>
    <n v="-1224.05"/>
  </r>
  <r>
    <d v="2022-01-24T00:00:00"/>
    <s v="Politics hold."/>
    <x v="3"/>
    <n v="2785"/>
    <x v="1"/>
    <x v="0"/>
    <n v="2022"/>
    <n v="2785"/>
  </r>
  <r>
    <d v="2022-01-28T00:00:00"/>
    <s v="Hard knowledge enjoy let."/>
    <x v="6"/>
    <n v="1883.56"/>
    <x v="0"/>
    <x v="0"/>
    <n v="2022"/>
    <n v="-1883.56"/>
  </r>
  <r>
    <d v="2022-02-01T00:00:00"/>
    <s v="Nor character recent."/>
    <x v="9"/>
    <n v="1412.75"/>
    <x v="0"/>
    <x v="1"/>
    <n v="2022"/>
    <n v="-1412.75"/>
  </r>
  <r>
    <d v="2022-02-02T00:00:00"/>
    <s v="Property space."/>
    <x v="8"/>
    <n v="640.91"/>
    <x v="0"/>
    <x v="1"/>
    <n v="2022"/>
    <n v="-640.91"/>
  </r>
  <r>
    <d v="2022-02-05T00:00:00"/>
    <s v="Dinner article hit mission whole."/>
    <x v="9"/>
    <n v="582.70000000000005"/>
    <x v="0"/>
    <x v="1"/>
    <n v="2022"/>
    <n v="-582.70000000000005"/>
  </r>
  <r>
    <d v="2022-02-05T00:00:00"/>
    <s v="Think live bad total research."/>
    <x v="4"/>
    <n v="1792.56"/>
    <x v="0"/>
    <x v="1"/>
    <n v="2022"/>
    <n v="-1792.56"/>
  </r>
  <r>
    <d v="2022-02-06T00:00:00"/>
    <s v="Too song quality per build."/>
    <x v="7"/>
    <n v="1909.67"/>
    <x v="0"/>
    <x v="1"/>
    <n v="2022"/>
    <n v="-1909.67"/>
  </r>
  <r>
    <d v="2022-02-08T00:00:00"/>
    <s v="We cold deep."/>
    <x v="9"/>
    <n v="93.71"/>
    <x v="0"/>
    <x v="1"/>
    <n v="2022"/>
    <n v="-93.71"/>
  </r>
  <r>
    <d v="2022-02-08T00:00:00"/>
    <s v="Amount bad raise."/>
    <x v="2"/>
    <n v="699.26"/>
    <x v="0"/>
    <x v="1"/>
    <n v="2022"/>
    <n v="-699.26"/>
  </r>
  <r>
    <d v="2022-02-09T00:00:00"/>
    <s v="Challenge organization floor road southern."/>
    <x v="9"/>
    <n v="1497.2"/>
    <x v="0"/>
    <x v="1"/>
    <n v="2022"/>
    <n v="-1497.2"/>
  </r>
  <r>
    <d v="2022-02-10T00:00:00"/>
    <s v="News need task mind."/>
    <x v="9"/>
    <n v="1866.72"/>
    <x v="0"/>
    <x v="1"/>
    <n v="2022"/>
    <n v="-1866.72"/>
  </r>
  <r>
    <d v="2022-02-10T00:00:00"/>
    <s v="Onto site both change note."/>
    <x v="1"/>
    <n v="227.36"/>
    <x v="0"/>
    <x v="1"/>
    <n v="2022"/>
    <n v="-227.36"/>
  </r>
  <r>
    <d v="2022-02-10T00:00:00"/>
    <s v="Understand none."/>
    <x v="6"/>
    <n v="492.49"/>
    <x v="0"/>
    <x v="1"/>
    <n v="2022"/>
    <n v="-492.49"/>
  </r>
  <r>
    <d v="2022-02-10T00:00:00"/>
    <s v="Test they there."/>
    <x v="6"/>
    <n v="1279.51"/>
    <x v="0"/>
    <x v="1"/>
    <n v="2022"/>
    <n v="-1279.51"/>
  </r>
  <r>
    <d v="2022-02-11T00:00:00"/>
    <s v="Pressure occur list common."/>
    <x v="5"/>
    <n v="3205"/>
    <x v="1"/>
    <x v="1"/>
    <n v="2022"/>
    <n v="3205"/>
  </r>
  <r>
    <d v="2022-02-14T00:00:00"/>
    <s v="Peace race i."/>
    <x v="2"/>
    <n v="1365.57"/>
    <x v="0"/>
    <x v="1"/>
    <n v="2022"/>
    <n v="-1365.57"/>
  </r>
  <r>
    <d v="2022-02-17T00:00:00"/>
    <s v="Real any little environmental."/>
    <x v="3"/>
    <n v="3833"/>
    <x v="1"/>
    <x v="1"/>
    <n v="2022"/>
    <n v="3833"/>
  </r>
  <r>
    <d v="2022-02-17T00:00:00"/>
    <s v="Full soldier."/>
    <x v="8"/>
    <n v="960.12"/>
    <x v="0"/>
    <x v="1"/>
    <n v="2022"/>
    <n v="-960.12"/>
  </r>
  <r>
    <d v="2022-02-17T00:00:00"/>
    <s v="Successful teach range."/>
    <x v="5"/>
    <n v="3131"/>
    <x v="1"/>
    <x v="1"/>
    <n v="2022"/>
    <n v="3131"/>
  </r>
  <r>
    <d v="2022-02-17T00:00:00"/>
    <s v="Feel season similar."/>
    <x v="0"/>
    <n v="1816.79"/>
    <x v="0"/>
    <x v="1"/>
    <n v="2022"/>
    <n v="-1816.79"/>
  </r>
  <r>
    <d v="2022-02-18T00:00:00"/>
    <s v="Rock painting become."/>
    <x v="3"/>
    <n v="4883"/>
    <x v="1"/>
    <x v="1"/>
    <n v="2022"/>
    <n v="4883"/>
  </r>
  <r>
    <d v="2022-02-21T00:00:00"/>
    <s v="Tree imagine machine."/>
    <x v="0"/>
    <n v="1827.33"/>
    <x v="0"/>
    <x v="1"/>
    <n v="2022"/>
    <n v="-1827.33"/>
  </r>
  <r>
    <d v="2022-02-22T00:00:00"/>
    <s v="Start middle city find."/>
    <x v="3"/>
    <n v="797"/>
    <x v="1"/>
    <x v="1"/>
    <n v="2022"/>
    <n v="797"/>
  </r>
  <r>
    <d v="2022-02-22T00:00:00"/>
    <s v="Career surface these ahead."/>
    <x v="4"/>
    <n v="1578.04"/>
    <x v="0"/>
    <x v="1"/>
    <n v="2022"/>
    <n v="-1578.04"/>
  </r>
  <r>
    <d v="2022-02-25T00:00:00"/>
    <s v="Student economic lead."/>
    <x v="5"/>
    <n v="806"/>
    <x v="1"/>
    <x v="1"/>
    <n v="2022"/>
    <n v="806"/>
  </r>
  <r>
    <d v="2022-02-27T00:00:00"/>
    <s v="Ever statement measure."/>
    <x v="3"/>
    <n v="3244"/>
    <x v="1"/>
    <x v="1"/>
    <n v="2022"/>
    <n v="3244"/>
  </r>
  <r>
    <d v="2022-03-01T00:00:00"/>
    <s v="Drop major."/>
    <x v="8"/>
    <n v="1779.63"/>
    <x v="0"/>
    <x v="2"/>
    <n v="2022"/>
    <n v="-1779.63"/>
  </r>
  <r>
    <d v="2022-03-02T00:00:00"/>
    <s v="Whether listen necessary."/>
    <x v="5"/>
    <n v="2735"/>
    <x v="1"/>
    <x v="2"/>
    <n v="2022"/>
    <n v="2735"/>
  </r>
  <r>
    <d v="2022-03-04T00:00:00"/>
    <s v="Study else store."/>
    <x v="3"/>
    <n v="3208"/>
    <x v="1"/>
    <x v="2"/>
    <n v="2022"/>
    <n v="3208"/>
  </r>
  <r>
    <d v="2022-03-05T00:00:00"/>
    <s v="Agree anyone take."/>
    <x v="5"/>
    <n v="2607"/>
    <x v="1"/>
    <x v="2"/>
    <n v="2022"/>
    <n v="2607"/>
  </r>
  <r>
    <d v="2022-03-07T00:00:00"/>
    <s v="Positive question especially."/>
    <x v="0"/>
    <n v="1475.87"/>
    <x v="0"/>
    <x v="2"/>
    <n v="2022"/>
    <n v="-1475.87"/>
  </r>
  <r>
    <d v="2022-03-07T00:00:00"/>
    <s v="After sister should across treatment."/>
    <x v="6"/>
    <n v="359.23"/>
    <x v="0"/>
    <x v="2"/>
    <n v="2022"/>
    <n v="-359.23"/>
  </r>
  <r>
    <d v="2022-03-12T00:00:00"/>
    <s v="Song difference part wall require."/>
    <x v="4"/>
    <n v="1655.71"/>
    <x v="0"/>
    <x v="2"/>
    <n v="2022"/>
    <n v="-1655.71"/>
  </r>
  <r>
    <d v="2022-03-14T00:00:00"/>
    <s v="Time surface learn design."/>
    <x v="2"/>
    <n v="807.66"/>
    <x v="0"/>
    <x v="2"/>
    <n v="2022"/>
    <n v="-807.66"/>
  </r>
  <r>
    <d v="2022-03-17T00:00:00"/>
    <s v="Station however bill memory production."/>
    <x v="3"/>
    <n v="4411"/>
    <x v="1"/>
    <x v="2"/>
    <n v="2022"/>
    <n v="4411"/>
  </r>
  <r>
    <d v="2022-03-17T00:00:00"/>
    <s v="Positive participant fear blue as."/>
    <x v="6"/>
    <n v="23.59"/>
    <x v="0"/>
    <x v="2"/>
    <n v="2022"/>
    <n v="-23.59"/>
  </r>
  <r>
    <d v="2022-03-18T00:00:00"/>
    <s v="Technology end represent throughout."/>
    <x v="8"/>
    <n v="1509.98"/>
    <x v="0"/>
    <x v="2"/>
    <n v="2022"/>
    <n v="-1509.98"/>
  </r>
  <r>
    <d v="2022-03-18T00:00:00"/>
    <s v="Change she tonight."/>
    <x v="9"/>
    <n v="1169.0999999999999"/>
    <x v="0"/>
    <x v="2"/>
    <n v="2022"/>
    <n v="-1169.0999999999999"/>
  </r>
  <r>
    <d v="2022-03-18T00:00:00"/>
    <s v="Race return pretty young."/>
    <x v="9"/>
    <n v="1310.83"/>
    <x v="0"/>
    <x v="2"/>
    <n v="2022"/>
    <n v="-1310.83"/>
  </r>
  <r>
    <d v="2022-03-20T00:00:00"/>
    <s v="Identify say on yes."/>
    <x v="0"/>
    <n v="1338.89"/>
    <x v="0"/>
    <x v="2"/>
    <n v="2022"/>
    <n v="-1338.89"/>
  </r>
  <r>
    <d v="2022-03-20T00:00:00"/>
    <s v="Risk develop movement size."/>
    <x v="1"/>
    <n v="816.78"/>
    <x v="0"/>
    <x v="2"/>
    <n v="2022"/>
    <n v="-816.78"/>
  </r>
  <r>
    <d v="2022-03-22T00:00:00"/>
    <s v="Feel color price next."/>
    <x v="9"/>
    <n v="1383.68"/>
    <x v="0"/>
    <x v="2"/>
    <n v="2022"/>
    <n v="-1383.68"/>
  </r>
  <r>
    <d v="2022-03-23T00:00:00"/>
    <s v="Likely scientist."/>
    <x v="9"/>
    <n v="741.41"/>
    <x v="0"/>
    <x v="2"/>
    <n v="2022"/>
    <n v="-741.41"/>
  </r>
  <r>
    <d v="2022-03-23T00:00:00"/>
    <s v="Water tonight pressure."/>
    <x v="1"/>
    <n v="961.58"/>
    <x v="0"/>
    <x v="2"/>
    <n v="2022"/>
    <n v="-961.58"/>
  </r>
  <r>
    <d v="2022-03-24T00:00:00"/>
    <s v="Development the inside thought."/>
    <x v="7"/>
    <n v="837.53"/>
    <x v="0"/>
    <x v="2"/>
    <n v="2022"/>
    <n v="-837.53"/>
  </r>
  <r>
    <d v="2022-03-25T00:00:00"/>
    <s v="One less brother."/>
    <x v="8"/>
    <n v="1517.13"/>
    <x v="0"/>
    <x v="2"/>
    <n v="2022"/>
    <n v="-1517.13"/>
  </r>
  <r>
    <d v="2022-03-26T00:00:00"/>
    <s v="Oil per line create build."/>
    <x v="6"/>
    <n v="1526.1"/>
    <x v="0"/>
    <x v="2"/>
    <n v="2022"/>
    <n v="-1526.1"/>
  </r>
  <r>
    <d v="2022-03-27T00:00:00"/>
    <s v="Fear approach take case customer."/>
    <x v="2"/>
    <n v="1055.76"/>
    <x v="0"/>
    <x v="2"/>
    <n v="2022"/>
    <n v="-1055.76"/>
  </r>
  <r>
    <d v="2022-03-28T00:00:00"/>
    <s v="Throughout would century television congress."/>
    <x v="7"/>
    <n v="165.42"/>
    <x v="0"/>
    <x v="2"/>
    <n v="2022"/>
    <n v="-165.42"/>
  </r>
  <r>
    <d v="2022-03-28T00:00:00"/>
    <s v="Forward would finish around."/>
    <x v="0"/>
    <n v="1659.26"/>
    <x v="0"/>
    <x v="2"/>
    <n v="2022"/>
    <n v="-1659.26"/>
  </r>
  <r>
    <d v="2022-03-28T00:00:00"/>
    <s v="Decide similar office."/>
    <x v="6"/>
    <n v="1149.68"/>
    <x v="0"/>
    <x v="2"/>
    <n v="2022"/>
    <n v="-1149.68"/>
  </r>
  <r>
    <d v="2022-03-28T00:00:00"/>
    <s v="Size sister can its."/>
    <x v="5"/>
    <n v="4762"/>
    <x v="1"/>
    <x v="2"/>
    <n v="2022"/>
    <n v="4762"/>
  </r>
  <r>
    <d v="2022-03-29T00:00:00"/>
    <s v="Investment local above move."/>
    <x v="6"/>
    <n v="1436.67"/>
    <x v="0"/>
    <x v="2"/>
    <n v="2022"/>
    <n v="-1436.67"/>
  </r>
  <r>
    <d v="2022-03-29T00:00:00"/>
    <s v="Throughout series."/>
    <x v="8"/>
    <n v="1619.3"/>
    <x v="0"/>
    <x v="2"/>
    <n v="2022"/>
    <n v="-1619.3"/>
  </r>
  <r>
    <d v="2022-03-31T00:00:00"/>
    <s v="Adult above safe."/>
    <x v="4"/>
    <n v="919.03"/>
    <x v="0"/>
    <x v="2"/>
    <n v="2022"/>
    <n v="-919.03"/>
  </r>
  <r>
    <d v="2022-03-31T00:00:00"/>
    <s v="Fine bill me fill."/>
    <x v="5"/>
    <n v="3024"/>
    <x v="1"/>
    <x v="2"/>
    <n v="2022"/>
    <n v="3024"/>
  </r>
  <r>
    <d v="2022-03-31T00:00:00"/>
    <s v="Fear fact."/>
    <x v="4"/>
    <n v="516.37"/>
    <x v="0"/>
    <x v="2"/>
    <n v="2022"/>
    <n v="-516.37"/>
  </r>
  <r>
    <d v="2022-04-01T00:00:00"/>
    <s v="Model its rather card you."/>
    <x v="3"/>
    <n v="1098"/>
    <x v="1"/>
    <x v="3"/>
    <n v="2022"/>
    <n v="1098"/>
  </r>
  <r>
    <d v="2022-04-01T00:00:00"/>
    <s v="Seek close trade speech."/>
    <x v="5"/>
    <n v="1022"/>
    <x v="1"/>
    <x v="3"/>
    <n v="2022"/>
    <n v="1022"/>
  </r>
  <r>
    <d v="2022-04-01T00:00:00"/>
    <s v="Difference world deep."/>
    <x v="0"/>
    <n v="1869.82"/>
    <x v="0"/>
    <x v="3"/>
    <n v="2022"/>
    <n v="-1869.82"/>
  </r>
  <r>
    <d v="2022-04-01T00:00:00"/>
    <s v="Mean but represent society heart."/>
    <x v="5"/>
    <n v="759"/>
    <x v="1"/>
    <x v="3"/>
    <n v="2022"/>
    <n v="759"/>
  </r>
  <r>
    <d v="2022-04-02T00:00:00"/>
    <s v="Perhaps order answer blue structure."/>
    <x v="1"/>
    <n v="1540.25"/>
    <x v="0"/>
    <x v="3"/>
    <n v="2022"/>
    <n v="-1540.25"/>
  </r>
  <r>
    <d v="2022-04-02T00:00:00"/>
    <s v="Indicate herself."/>
    <x v="4"/>
    <n v="755.18"/>
    <x v="0"/>
    <x v="3"/>
    <n v="2022"/>
    <n v="-755.18"/>
  </r>
  <r>
    <d v="2022-04-03T00:00:00"/>
    <s v="Listen check receive."/>
    <x v="8"/>
    <n v="1740.54"/>
    <x v="0"/>
    <x v="3"/>
    <n v="2022"/>
    <n v="-1740.54"/>
  </r>
  <r>
    <d v="2022-04-03T00:00:00"/>
    <s v="Inside big minute."/>
    <x v="4"/>
    <n v="169.7"/>
    <x v="0"/>
    <x v="3"/>
    <n v="2022"/>
    <n v="-169.7"/>
  </r>
  <r>
    <d v="2022-04-04T00:00:00"/>
    <s v="Store bit responsibility brother."/>
    <x v="1"/>
    <n v="1310.53"/>
    <x v="0"/>
    <x v="3"/>
    <n v="2022"/>
    <n v="-1310.53"/>
  </r>
  <r>
    <d v="2022-04-05T00:00:00"/>
    <s v="Marriage participant."/>
    <x v="1"/>
    <n v="1985.77"/>
    <x v="0"/>
    <x v="3"/>
    <n v="2022"/>
    <n v="-1985.77"/>
  </r>
  <r>
    <d v="2022-04-08T00:00:00"/>
    <s v="Win group important civil nature."/>
    <x v="1"/>
    <n v="1458.44"/>
    <x v="0"/>
    <x v="3"/>
    <n v="2022"/>
    <n v="-1458.44"/>
  </r>
  <r>
    <d v="2022-04-09T00:00:00"/>
    <s v="Former able public trade."/>
    <x v="0"/>
    <n v="1514.8"/>
    <x v="0"/>
    <x v="3"/>
    <n v="2022"/>
    <n v="-1514.8"/>
  </r>
  <r>
    <d v="2022-04-09T00:00:00"/>
    <s v="Chance bed memory rich."/>
    <x v="8"/>
    <n v="1350.26"/>
    <x v="0"/>
    <x v="3"/>
    <n v="2022"/>
    <n v="-1350.26"/>
  </r>
  <r>
    <d v="2022-04-10T00:00:00"/>
    <s v="Popular lead with."/>
    <x v="4"/>
    <n v="1648.49"/>
    <x v="0"/>
    <x v="3"/>
    <n v="2022"/>
    <n v="-1648.49"/>
  </r>
  <r>
    <d v="2022-04-10T00:00:00"/>
    <s v="Anyone spend them system."/>
    <x v="7"/>
    <n v="318.69"/>
    <x v="0"/>
    <x v="3"/>
    <n v="2022"/>
    <n v="-318.69"/>
  </r>
  <r>
    <d v="2022-04-16T00:00:00"/>
    <s v="International break surface three."/>
    <x v="3"/>
    <n v="763"/>
    <x v="1"/>
    <x v="3"/>
    <n v="2022"/>
    <n v="763"/>
  </r>
  <r>
    <d v="2022-04-18T00:00:00"/>
    <s v="Professional color group."/>
    <x v="4"/>
    <n v="1233.7"/>
    <x v="0"/>
    <x v="3"/>
    <n v="2022"/>
    <n v="-1233.7"/>
  </r>
  <r>
    <d v="2022-04-18T00:00:00"/>
    <s v="Environmental run head garden box."/>
    <x v="0"/>
    <n v="488.93"/>
    <x v="0"/>
    <x v="3"/>
    <n v="2022"/>
    <n v="-488.93"/>
  </r>
  <r>
    <d v="2022-04-21T00:00:00"/>
    <s v="Even history surface son."/>
    <x v="3"/>
    <n v="4157"/>
    <x v="1"/>
    <x v="3"/>
    <n v="2022"/>
    <n v="4157"/>
  </r>
  <r>
    <d v="2022-04-22T00:00:00"/>
    <s v="Car risk."/>
    <x v="0"/>
    <n v="497.02"/>
    <x v="0"/>
    <x v="3"/>
    <n v="2022"/>
    <n v="-497.02"/>
  </r>
  <r>
    <d v="2022-04-22T00:00:00"/>
    <s v="Indeed opportunity."/>
    <x v="5"/>
    <n v="2419"/>
    <x v="1"/>
    <x v="3"/>
    <n v="2022"/>
    <n v="2419"/>
  </r>
  <r>
    <d v="2022-04-24T00:00:00"/>
    <s v="Consider here grow agreement."/>
    <x v="0"/>
    <n v="288.87"/>
    <x v="0"/>
    <x v="3"/>
    <n v="2022"/>
    <n v="-288.87"/>
  </r>
  <r>
    <d v="2022-04-24T00:00:00"/>
    <s v="Turn both in animal."/>
    <x v="6"/>
    <n v="1633.41"/>
    <x v="0"/>
    <x v="3"/>
    <n v="2022"/>
    <n v="-1633.41"/>
  </r>
  <r>
    <d v="2022-04-29T00:00:00"/>
    <s v="Actually than modern season."/>
    <x v="7"/>
    <n v="1159.17"/>
    <x v="0"/>
    <x v="3"/>
    <n v="2022"/>
    <n v="-1159.17"/>
  </r>
  <r>
    <d v="2022-04-30T00:00:00"/>
    <s v="Within prove full."/>
    <x v="7"/>
    <n v="481.44"/>
    <x v="0"/>
    <x v="3"/>
    <n v="2022"/>
    <n v="-481.44"/>
  </r>
  <r>
    <d v="2022-05-02T00:00:00"/>
    <s v="Believe product eat generation put."/>
    <x v="6"/>
    <n v="832.98"/>
    <x v="0"/>
    <x v="4"/>
    <n v="2022"/>
    <n v="-832.98"/>
  </r>
  <r>
    <d v="2022-05-02T00:00:00"/>
    <s v="Stuff next write."/>
    <x v="1"/>
    <n v="1255.73"/>
    <x v="0"/>
    <x v="4"/>
    <n v="2022"/>
    <n v="-1255.73"/>
  </r>
  <r>
    <d v="2022-05-03T00:00:00"/>
    <s v="Poor church."/>
    <x v="8"/>
    <n v="103.3"/>
    <x v="0"/>
    <x v="4"/>
    <n v="2022"/>
    <n v="-103.3"/>
  </r>
  <r>
    <d v="2022-05-05T00:00:00"/>
    <s v="Thank avoid man drive."/>
    <x v="4"/>
    <n v="1573.75"/>
    <x v="0"/>
    <x v="4"/>
    <n v="2022"/>
    <n v="-1573.75"/>
  </r>
  <r>
    <d v="2022-05-05T00:00:00"/>
    <s v="Medical nearly."/>
    <x v="4"/>
    <n v="822.44"/>
    <x v="0"/>
    <x v="4"/>
    <n v="2022"/>
    <n v="-822.44"/>
  </r>
  <r>
    <d v="2022-05-06T00:00:00"/>
    <s v="Stage bad know of."/>
    <x v="1"/>
    <n v="1511.29"/>
    <x v="0"/>
    <x v="4"/>
    <n v="2022"/>
    <n v="-1511.29"/>
  </r>
  <r>
    <d v="2022-05-07T00:00:00"/>
    <s v="Language budget market president."/>
    <x v="6"/>
    <n v="608.47"/>
    <x v="0"/>
    <x v="4"/>
    <n v="2022"/>
    <n v="-608.47"/>
  </r>
  <r>
    <d v="2022-05-07T00:00:00"/>
    <s v="Include news a before."/>
    <x v="8"/>
    <n v="1830.33"/>
    <x v="0"/>
    <x v="4"/>
    <n v="2022"/>
    <n v="-1830.33"/>
  </r>
  <r>
    <d v="2022-05-07T00:00:00"/>
    <s v="None pressure lay future stay."/>
    <x v="4"/>
    <n v="1119"/>
    <x v="0"/>
    <x v="4"/>
    <n v="2022"/>
    <n v="-1119"/>
  </r>
  <r>
    <d v="2022-05-08T00:00:00"/>
    <s v="Forward should outside respond."/>
    <x v="3"/>
    <n v="2588"/>
    <x v="1"/>
    <x v="4"/>
    <n v="2022"/>
    <n v="2588"/>
  </r>
  <r>
    <d v="2022-05-08T00:00:00"/>
    <s v="Box service develop game."/>
    <x v="2"/>
    <n v="1845.23"/>
    <x v="0"/>
    <x v="4"/>
    <n v="2022"/>
    <n v="-1845.23"/>
  </r>
  <r>
    <d v="2022-05-09T00:00:00"/>
    <s v="Miss reduce animal clearly cell."/>
    <x v="2"/>
    <n v="1075.9100000000001"/>
    <x v="0"/>
    <x v="4"/>
    <n v="2022"/>
    <n v="-1075.9100000000001"/>
  </r>
  <r>
    <d v="2022-05-09T00:00:00"/>
    <s v="Effect cultural."/>
    <x v="0"/>
    <n v="544.24"/>
    <x v="0"/>
    <x v="4"/>
    <n v="2022"/>
    <n v="-544.24"/>
  </r>
  <r>
    <d v="2022-05-11T00:00:00"/>
    <s v="Democratic station course full."/>
    <x v="0"/>
    <n v="1748.5"/>
    <x v="0"/>
    <x v="4"/>
    <n v="2022"/>
    <n v="-1748.5"/>
  </r>
  <r>
    <d v="2022-05-13T00:00:00"/>
    <s v="Unit study."/>
    <x v="3"/>
    <n v="4427"/>
    <x v="1"/>
    <x v="4"/>
    <n v="2022"/>
    <n v="4427"/>
  </r>
  <r>
    <d v="2022-05-13T00:00:00"/>
    <s v="Leader operation mean white."/>
    <x v="7"/>
    <n v="613.34"/>
    <x v="0"/>
    <x v="4"/>
    <n v="2022"/>
    <n v="-613.34"/>
  </r>
  <r>
    <d v="2022-05-14T00:00:00"/>
    <s v="Save network item one under."/>
    <x v="6"/>
    <n v="1874.95"/>
    <x v="0"/>
    <x v="4"/>
    <n v="2022"/>
    <n v="-1874.95"/>
  </r>
  <r>
    <d v="2022-05-19T00:00:00"/>
    <s v="Community spring billion price paper."/>
    <x v="2"/>
    <n v="1496.29"/>
    <x v="0"/>
    <x v="4"/>
    <n v="2022"/>
    <n v="-1496.29"/>
  </r>
  <r>
    <d v="2022-05-19T00:00:00"/>
    <s v="Thing industry participant realize."/>
    <x v="6"/>
    <n v="1394.3"/>
    <x v="0"/>
    <x v="4"/>
    <n v="2022"/>
    <n v="-1394.3"/>
  </r>
  <r>
    <d v="2022-05-20T00:00:00"/>
    <s v="Huge garden family."/>
    <x v="4"/>
    <n v="1831.1"/>
    <x v="0"/>
    <x v="4"/>
    <n v="2022"/>
    <n v="-1831.1"/>
  </r>
  <r>
    <d v="2022-05-20T00:00:00"/>
    <s v="Include record security."/>
    <x v="9"/>
    <n v="767.52"/>
    <x v="0"/>
    <x v="4"/>
    <n v="2022"/>
    <n v="-767.52"/>
  </r>
  <r>
    <d v="2022-05-22T00:00:00"/>
    <s v="Team republican very plan cut."/>
    <x v="7"/>
    <n v="623.76"/>
    <x v="0"/>
    <x v="4"/>
    <n v="2022"/>
    <n v="-623.76"/>
  </r>
  <r>
    <d v="2022-05-23T00:00:00"/>
    <s v="Tv car report window."/>
    <x v="8"/>
    <n v="937.35"/>
    <x v="0"/>
    <x v="4"/>
    <n v="2022"/>
    <n v="-937.35"/>
  </r>
  <r>
    <d v="2022-05-24T00:00:00"/>
    <s v="My pm report set."/>
    <x v="8"/>
    <n v="1525.64"/>
    <x v="0"/>
    <x v="4"/>
    <n v="2022"/>
    <n v="-1525.64"/>
  </r>
  <r>
    <d v="2022-05-24T00:00:00"/>
    <s v="Old wall report purpose."/>
    <x v="6"/>
    <n v="747.7"/>
    <x v="0"/>
    <x v="4"/>
    <n v="2022"/>
    <n v="-747.7"/>
  </r>
  <r>
    <d v="2022-05-25T00:00:00"/>
    <s v="There institution actually."/>
    <x v="6"/>
    <n v="1485.09"/>
    <x v="0"/>
    <x v="4"/>
    <n v="2022"/>
    <n v="-1485.09"/>
  </r>
  <r>
    <d v="2022-05-27T00:00:00"/>
    <s v="Herself apply."/>
    <x v="5"/>
    <n v="2918"/>
    <x v="1"/>
    <x v="4"/>
    <n v="2022"/>
    <n v="2918"/>
  </r>
  <r>
    <d v="2022-05-28T00:00:00"/>
    <s v="Environment size worker."/>
    <x v="5"/>
    <n v="2384"/>
    <x v="1"/>
    <x v="4"/>
    <n v="2022"/>
    <n v="2384"/>
  </r>
  <r>
    <d v="2022-05-29T00:00:00"/>
    <s v="Style real far."/>
    <x v="6"/>
    <n v="1003.61"/>
    <x v="0"/>
    <x v="4"/>
    <n v="2022"/>
    <n v="-1003.61"/>
  </r>
  <r>
    <d v="2022-05-29T00:00:00"/>
    <s v="Grow laugh."/>
    <x v="7"/>
    <n v="522.08000000000004"/>
    <x v="0"/>
    <x v="4"/>
    <n v="2022"/>
    <n v="-522.08000000000004"/>
  </r>
  <r>
    <d v="2022-05-30T00:00:00"/>
    <s v="Score night down."/>
    <x v="8"/>
    <n v="927.05"/>
    <x v="0"/>
    <x v="4"/>
    <n v="2022"/>
    <n v="-927.05"/>
  </r>
  <r>
    <d v="2022-05-30T00:00:00"/>
    <s v="Unit hold."/>
    <x v="7"/>
    <n v="346.84"/>
    <x v="0"/>
    <x v="4"/>
    <n v="2022"/>
    <n v="-346.84"/>
  </r>
  <r>
    <d v="2022-05-31T00:00:00"/>
    <s v="Approach season data than team."/>
    <x v="8"/>
    <n v="376.26"/>
    <x v="0"/>
    <x v="4"/>
    <n v="2022"/>
    <n v="-376.26"/>
  </r>
  <r>
    <d v="2022-06-01T00:00:00"/>
    <s v="Treatment relate positive."/>
    <x v="0"/>
    <n v="1052.6500000000001"/>
    <x v="0"/>
    <x v="5"/>
    <n v="2022"/>
    <n v="-1052.6500000000001"/>
  </r>
  <r>
    <d v="2022-06-01T00:00:00"/>
    <s v="Cultural right cover large work."/>
    <x v="2"/>
    <n v="1890.92"/>
    <x v="0"/>
    <x v="5"/>
    <n v="2022"/>
    <n v="-1890.92"/>
  </r>
  <r>
    <d v="2022-06-04T00:00:00"/>
    <s v="While same budget."/>
    <x v="0"/>
    <n v="830.66"/>
    <x v="0"/>
    <x v="5"/>
    <n v="2022"/>
    <n v="-830.66"/>
  </r>
  <r>
    <d v="2022-06-04T00:00:00"/>
    <s v="Evidence enough claim suffer."/>
    <x v="6"/>
    <n v="145.26"/>
    <x v="0"/>
    <x v="5"/>
    <n v="2022"/>
    <n v="-145.26"/>
  </r>
  <r>
    <d v="2022-06-06T00:00:00"/>
    <s v="Letter visit always up."/>
    <x v="3"/>
    <n v="4642"/>
    <x v="1"/>
    <x v="5"/>
    <n v="2022"/>
    <n v="4642"/>
  </r>
  <r>
    <d v="2022-06-07T00:00:00"/>
    <s v="Past product make of group."/>
    <x v="0"/>
    <n v="1239.49"/>
    <x v="0"/>
    <x v="5"/>
    <n v="2022"/>
    <n v="-1239.49"/>
  </r>
  <r>
    <d v="2022-06-07T00:00:00"/>
    <s v="Detail contain attention measure indeed."/>
    <x v="8"/>
    <n v="1321.98"/>
    <x v="0"/>
    <x v="5"/>
    <n v="2022"/>
    <n v="-1321.98"/>
  </r>
  <r>
    <d v="2022-06-11T00:00:00"/>
    <s v="Begin determine degree forward."/>
    <x v="5"/>
    <n v="597"/>
    <x v="1"/>
    <x v="5"/>
    <n v="2022"/>
    <n v="597"/>
  </r>
  <r>
    <d v="2022-06-11T00:00:00"/>
    <s v="Despite sell most."/>
    <x v="5"/>
    <n v="4888"/>
    <x v="1"/>
    <x v="5"/>
    <n v="2022"/>
    <n v="4888"/>
  </r>
  <r>
    <d v="2022-06-12T00:00:00"/>
    <s v="Boy generation."/>
    <x v="0"/>
    <n v="1009.41"/>
    <x v="0"/>
    <x v="5"/>
    <n v="2022"/>
    <n v="-1009.41"/>
  </r>
  <r>
    <d v="2022-06-12T00:00:00"/>
    <s v="Truth during always those high."/>
    <x v="4"/>
    <n v="1614.27"/>
    <x v="0"/>
    <x v="5"/>
    <n v="2022"/>
    <n v="-1614.27"/>
  </r>
  <r>
    <d v="2022-06-12T00:00:00"/>
    <s v="Either rich agency might."/>
    <x v="2"/>
    <n v="1836.92"/>
    <x v="0"/>
    <x v="5"/>
    <n v="2022"/>
    <n v="-1836.92"/>
  </r>
  <r>
    <d v="2022-06-13T00:00:00"/>
    <s v="Sort knowledge analysis together court."/>
    <x v="6"/>
    <n v="391.94"/>
    <x v="0"/>
    <x v="5"/>
    <n v="2022"/>
    <n v="-391.94"/>
  </r>
  <r>
    <d v="2022-06-17T00:00:00"/>
    <s v="Way cold."/>
    <x v="7"/>
    <n v="541.98"/>
    <x v="0"/>
    <x v="5"/>
    <n v="2022"/>
    <n v="-541.98"/>
  </r>
  <r>
    <d v="2022-06-17T00:00:00"/>
    <s v="Account assume prove similar ten."/>
    <x v="7"/>
    <n v="1919"/>
    <x v="0"/>
    <x v="5"/>
    <n v="2022"/>
    <n v="-1919"/>
  </r>
  <r>
    <d v="2022-06-18T00:00:00"/>
    <s v="Day stock."/>
    <x v="6"/>
    <n v="1980.56"/>
    <x v="0"/>
    <x v="5"/>
    <n v="2022"/>
    <n v="-1980.56"/>
  </r>
  <r>
    <d v="2022-06-19T00:00:00"/>
    <s v="Section child."/>
    <x v="2"/>
    <n v="1310.93"/>
    <x v="0"/>
    <x v="5"/>
    <n v="2022"/>
    <n v="-1310.93"/>
  </r>
  <r>
    <d v="2022-06-20T00:00:00"/>
    <s v="Also available concern edge."/>
    <x v="0"/>
    <n v="196.07"/>
    <x v="0"/>
    <x v="5"/>
    <n v="2022"/>
    <n v="-196.07"/>
  </r>
  <r>
    <d v="2022-06-21T00:00:00"/>
    <s v="Start treat imagine later identify."/>
    <x v="8"/>
    <n v="121.67"/>
    <x v="0"/>
    <x v="5"/>
    <n v="2022"/>
    <n v="-121.67"/>
  </r>
  <r>
    <d v="2022-06-21T00:00:00"/>
    <s v="Hope brother."/>
    <x v="3"/>
    <n v="1177"/>
    <x v="1"/>
    <x v="5"/>
    <n v="2022"/>
    <n v="1177"/>
  </r>
  <r>
    <d v="2022-06-23T00:00:00"/>
    <s v="As second animal summer group."/>
    <x v="4"/>
    <n v="1293.3699999999999"/>
    <x v="0"/>
    <x v="5"/>
    <n v="2022"/>
    <n v="-1293.3699999999999"/>
  </r>
  <r>
    <d v="2022-06-23T00:00:00"/>
    <s v="Face rate."/>
    <x v="2"/>
    <n v="1790.63"/>
    <x v="0"/>
    <x v="5"/>
    <n v="2022"/>
    <n v="-1790.63"/>
  </r>
  <r>
    <d v="2022-06-25T00:00:00"/>
    <s v="She join house."/>
    <x v="6"/>
    <n v="430.72"/>
    <x v="0"/>
    <x v="5"/>
    <n v="2022"/>
    <n v="-430.72"/>
  </r>
  <r>
    <d v="2022-06-25T00:00:00"/>
    <s v="Choose detail section someone."/>
    <x v="8"/>
    <n v="549.48"/>
    <x v="0"/>
    <x v="5"/>
    <n v="2022"/>
    <n v="-549.48"/>
  </r>
  <r>
    <d v="2022-06-26T00:00:00"/>
    <s v="Whether century quality."/>
    <x v="9"/>
    <n v="1799.63"/>
    <x v="0"/>
    <x v="5"/>
    <n v="2022"/>
    <n v="-1799.63"/>
  </r>
  <r>
    <d v="2022-06-26T00:00:00"/>
    <s v="Network never."/>
    <x v="0"/>
    <n v="366.92"/>
    <x v="0"/>
    <x v="5"/>
    <n v="2022"/>
    <n v="-366.92"/>
  </r>
  <r>
    <d v="2022-06-30T00:00:00"/>
    <s v="Above others."/>
    <x v="0"/>
    <n v="1923.32"/>
    <x v="0"/>
    <x v="5"/>
    <n v="2022"/>
    <n v="-1923.32"/>
  </r>
  <r>
    <d v="2022-07-01T00:00:00"/>
    <s v="Water fight security tough gas."/>
    <x v="4"/>
    <n v="1858.46"/>
    <x v="0"/>
    <x v="6"/>
    <n v="2022"/>
    <n v="-1858.46"/>
  </r>
  <r>
    <d v="2022-07-02T00:00:00"/>
    <s v="Central contain pattern education boy."/>
    <x v="6"/>
    <n v="1137.72"/>
    <x v="0"/>
    <x v="6"/>
    <n v="2022"/>
    <n v="-1137.72"/>
  </r>
  <r>
    <d v="2022-07-04T00:00:00"/>
    <s v="Surface usually."/>
    <x v="7"/>
    <n v="773.85"/>
    <x v="0"/>
    <x v="6"/>
    <n v="2022"/>
    <n v="-773.85"/>
  </r>
  <r>
    <d v="2022-07-04T00:00:00"/>
    <s v="Popular available public economy."/>
    <x v="2"/>
    <n v="1006.58"/>
    <x v="0"/>
    <x v="6"/>
    <n v="2022"/>
    <n v="-1006.58"/>
  </r>
  <r>
    <d v="2022-07-04T00:00:00"/>
    <s v="Maintain former campaign pretty beyond."/>
    <x v="0"/>
    <n v="204.39"/>
    <x v="0"/>
    <x v="6"/>
    <n v="2022"/>
    <n v="-204.39"/>
  </r>
  <r>
    <d v="2022-07-05T00:00:00"/>
    <s v="Fish late pattern."/>
    <x v="2"/>
    <n v="687.78"/>
    <x v="0"/>
    <x v="6"/>
    <n v="2022"/>
    <n v="-687.78"/>
  </r>
  <r>
    <d v="2022-07-06T00:00:00"/>
    <s v="Charge note space when collection."/>
    <x v="4"/>
    <n v="1938.15"/>
    <x v="0"/>
    <x v="6"/>
    <n v="2022"/>
    <n v="-1938.15"/>
  </r>
  <r>
    <d v="2022-07-13T00:00:00"/>
    <s v="Size republican political."/>
    <x v="9"/>
    <n v="1569.26"/>
    <x v="0"/>
    <x v="6"/>
    <n v="2022"/>
    <n v="-1569.26"/>
  </r>
  <r>
    <d v="2022-07-17T00:00:00"/>
    <s v="Care run there leg."/>
    <x v="6"/>
    <n v="718.06"/>
    <x v="0"/>
    <x v="6"/>
    <n v="2022"/>
    <n v="-718.06"/>
  </r>
  <r>
    <d v="2022-07-17T00:00:00"/>
    <s v="Main board population."/>
    <x v="4"/>
    <n v="379.62"/>
    <x v="0"/>
    <x v="6"/>
    <n v="2022"/>
    <n v="-379.62"/>
  </r>
  <r>
    <d v="2022-07-17T00:00:00"/>
    <s v="Teach cause mrs."/>
    <x v="4"/>
    <n v="180.53"/>
    <x v="0"/>
    <x v="6"/>
    <n v="2022"/>
    <n v="-180.53"/>
  </r>
  <r>
    <d v="2022-07-18T00:00:00"/>
    <s v="Baby away affect medical all."/>
    <x v="6"/>
    <n v="1429.09"/>
    <x v="0"/>
    <x v="6"/>
    <n v="2022"/>
    <n v="-1429.09"/>
  </r>
  <r>
    <d v="2022-07-18T00:00:00"/>
    <s v="If operation trade necessary myself."/>
    <x v="3"/>
    <n v="3612"/>
    <x v="1"/>
    <x v="6"/>
    <n v="2022"/>
    <n v="3612"/>
  </r>
  <r>
    <d v="2022-07-19T00:00:00"/>
    <s v="President chance hotel through."/>
    <x v="1"/>
    <n v="1481.91"/>
    <x v="0"/>
    <x v="6"/>
    <n v="2022"/>
    <n v="-1481.91"/>
  </r>
  <r>
    <d v="2022-07-20T00:00:00"/>
    <s v="Let member however."/>
    <x v="2"/>
    <n v="192.13"/>
    <x v="0"/>
    <x v="6"/>
    <n v="2022"/>
    <n v="-192.13"/>
  </r>
  <r>
    <d v="2022-07-22T00:00:00"/>
    <s v="Production summer."/>
    <x v="8"/>
    <n v="726.24"/>
    <x v="0"/>
    <x v="6"/>
    <n v="2022"/>
    <n v="-726.24"/>
  </r>
  <r>
    <d v="2022-07-25T00:00:00"/>
    <s v="Cell city not not the."/>
    <x v="1"/>
    <n v="183.72"/>
    <x v="0"/>
    <x v="6"/>
    <n v="2022"/>
    <n v="-183.72"/>
  </r>
  <r>
    <d v="2022-07-27T00:00:00"/>
    <s v="Voice american seven discussion."/>
    <x v="4"/>
    <n v="215.55"/>
    <x v="0"/>
    <x v="6"/>
    <n v="2022"/>
    <n v="-215.55"/>
  </r>
  <r>
    <d v="2022-07-27T00:00:00"/>
    <s v="Doctor protect military social."/>
    <x v="3"/>
    <n v="3157"/>
    <x v="1"/>
    <x v="6"/>
    <n v="2022"/>
    <n v="3157"/>
  </r>
  <r>
    <d v="2022-07-27T00:00:00"/>
    <s v="Truth thing always possible."/>
    <x v="0"/>
    <n v="590.78"/>
    <x v="0"/>
    <x v="6"/>
    <n v="2022"/>
    <n v="-590.78"/>
  </r>
  <r>
    <d v="2022-07-27T00:00:00"/>
    <s v="Plant event score official now."/>
    <x v="2"/>
    <n v="1452.44"/>
    <x v="0"/>
    <x v="6"/>
    <n v="2022"/>
    <n v="-1452.44"/>
  </r>
  <r>
    <d v="2022-07-28T00:00:00"/>
    <s v="Half president structure might."/>
    <x v="6"/>
    <n v="1148.2"/>
    <x v="0"/>
    <x v="6"/>
    <n v="2022"/>
    <n v="-1148.2"/>
  </r>
  <r>
    <d v="2022-07-28T00:00:00"/>
    <s v="Might good test."/>
    <x v="5"/>
    <n v="1888"/>
    <x v="1"/>
    <x v="6"/>
    <n v="2022"/>
    <n v="1888"/>
  </r>
  <r>
    <d v="2022-07-29T00:00:00"/>
    <s v="Thought according think key."/>
    <x v="5"/>
    <n v="2698"/>
    <x v="1"/>
    <x v="6"/>
    <n v="2022"/>
    <n v="2698"/>
  </r>
  <r>
    <d v="2022-07-30T00:00:00"/>
    <s v="Method exactly."/>
    <x v="2"/>
    <n v="342.74"/>
    <x v="0"/>
    <x v="6"/>
    <n v="2022"/>
    <n v="-342.74"/>
  </r>
  <r>
    <d v="2022-07-31T00:00:00"/>
    <s v="Church own stage."/>
    <x v="9"/>
    <n v="973.62"/>
    <x v="0"/>
    <x v="6"/>
    <n v="2022"/>
    <n v="-973.62"/>
  </r>
  <r>
    <d v="2022-08-02T00:00:00"/>
    <s v="Specific result loss long."/>
    <x v="5"/>
    <n v="2520"/>
    <x v="1"/>
    <x v="7"/>
    <n v="2022"/>
    <n v="2520"/>
  </r>
  <r>
    <d v="2022-08-02T00:00:00"/>
    <s v="Claim street against amount of."/>
    <x v="8"/>
    <n v="1191.67"/>
    <x v="0"/>
    <x v="7"/>
    <n v="2022"/>
    <n v="-1191.67"/>
  </r>
  <r>
    <d v="2022-08-03T00:00:00"/>
    <s v="Picture always occur."/>
    <x v="3"/>
    <n v="1609"/>
    <x v="1"/>
    <x v="7"/>
    <n v="2022"/>
    <n v="1609"/>
  </r>
  <r>
    <d v="2022-08-04T00:00:00"/>
    <s v="Election conference when."/>
    <x v="4"/>
    <n v="671.11"/>
    <x v="0"/>
    <x v="7"/>
    <n v="2022"/>
    <n v="-671.11"/>
  </r>
  <r>
    <d v="2022-08-06T00:00:00"/>
    <s v="These road."/>
    <x v="7"/>
    <n v="886.04"/>
    <x v="0"/>
    <x v="7"/>
    <n v="2022"/>
    <n v="-886.04"/>
  </r>
  <r>
    <d v="2022-08-07T00:00:00"/>
    <s v="Describe paper."/>
    <x v="1"/>
    <n v="607.87"/>
    <x v="0"/>
    <x v="7"/>
    <n v="2022"/>
    <n v="-607.87"/>
  </r>
  <r>
    <d v="2022-08-12T00:00:00"/>
    <s v="Color store over some."/>
    <x v="6"/>
    <n v="963.23"/>
    <x v="0"/>
    <x v="7"/>
    <n v="2022"/>
    <n v="-963.23"/>
  </r>
  <r>
    <d v="2022-08-13T00:00:00"/>
    <s v="Process enough right garden law."/>
    <x v="5"/>
    <n v="3114"/>
    <x v="1"/>
    <x v="7"/>
    <n v="2022"/>
    <n v="3114"/>
  </r>
  <r>
    <d v="2022-08-15T00:00:00"/>
    <s v="Her car admit."/>
    <x v="8"/>
    <n v="1935.85"/>
    <x v="0"/>
    <x v="7"/>
    <n v="2022"/>
    <n v="-1935.85"/>
  </r>
  <r>
    <d v="2022-08-15T00:00:00"/>
    <s v="Range step painting concern."/>
    <x v="7"/>
    <n v="758.35"/>
    <x v="0"/>
    <x v="7"/>
    <n v="2022"/>
    <n v="-758.35"/>
  </r>
  <r>
    <d v="2022-08-16T00:00:00"/>
    <s v="Me brother lot candidate owner."/>
    <x v="4"/>
    <n v="736.38"/>
    <x v="0"/>
    <x v="7"/>
    <n v="2022"/>
    <n v="-736.38"/>
  </r>
  <r>
    <d v="2022-08-16T00:00:00"/>
    <s v="Miss have analysis morning."/>
    <x v="6"/>
    <n v="1188.53"/>
    <x v="0"/>
    <x v="7"/>
    <n v="2022"/>
    <n v="-1188.53"/>
  </r>
  <r>
    <d v="2022-08-17T00:00:00"/>
    <s v="Smile high open scientist."/>
    <x v="0"/>
    <n v="1906.48"/>
    <x v="0"/>
    <x v="7"/>
    <n v="2022"/>
    <n v="-1906.48"/>
  </r>
  <r>
    <d v="2022-08-18T00:00:00"/>
    <s v="International effort."/>
    <x v="6"/>
    <n v="882.53"/>
    <x v="0"/>
    <x v="7"/>
    <n v="2022"/>
    <n v="-882.53"/>
  </r>
  <r>
    <d v="2022-08-19T00:00:00"/>
    <s v="Exist theory."/>
    <x v="2"/>
    <n v="1639.74"/>
    <x v="0"/>
    <x v="7"/>
    <n v="2022"/>
    <n v="-1639.74"/>
  </r>
  <r>
    <d v="2022-08-21T00:00:00"/>
    <s v="Country remember smile."/>
    <x v="4"/>
    <n v="1349.23"/>
    <x v="0"/>
    <x v="7"/>
    <n v="2022"/>
    <n v="-1349.23"/>
  </r>
  <r>
    <d v="2022-08-21T00:00:00"/>
    <s v="Brother according pressure reach firm."/>
    <x v="5"/>
    <n v="2482"/>
    <x v="1"/>
    <x v="7"/>
    <n v="2022"/>
    <n v="2482"/>
  </r>
  <r>
    <d v="2022-08-22T00:00:00"/>
    <s v="Choice prepare."/>
    <x v="1"/>
    <n v="1433.32"/>
    <x v="0"/>
    <x v="7"/>
    <n v="2022"/>
    <n v="-1433.32"/>
  </r>
  <r>
    <d v="2022-08-22T00:00:00"/>
    <s v="Talk interest hand."/>
    <x v="2"/>
    <n v="903.64"/>
    <x v="0"/>
    <x v="7"/>
    <n v="2022"/>
    <n v="-903.64"/>
  </r>
  <r>
    <d v="2022-08-23T00:00:00"/>
    <s v="Sense including six lot."/>
    <x v="4"/>
    <n v="1073.3900000000001"/>
    <x v="0"/>
    <x v="7"/>
    <n v="2022"/>
    <n v="-1073.3900000000001"/>
  </r>
  <r>
    <d v="2022-08-24T00:00:00"/>
    <s v="Never effect fill general relationship."/>
    <x v="4"/>
    <n v="1091.8499999999999"/>
    <x v="0"/>
    <x v="7"/>
    <n v="2022"/>
    <n v="-1091.8499999999999"/>
  </r>
  <r>
    <d v="2022-08-26T00:00:00"/>
    <s v="Security land record."/>
    <x v="7"/>
    <n v="1406.25"/>
    <x v="0"/>
    <x v="7"/>
    <n v="2022"/>
    <n v="-1406.25"/>
  </r>
  <r>
    <d v="2022-08-26T00:00:00"/>
    <s v="Democrat hundred."/>
    <x v="2"/>
    <n v="227.65"/>
    <x v="0"/>
    <x v="7"/>
    <n v="2022"/>
    <n v="-227.65"/>
  </r>
  <r>
    <d v="2022-08-28T00:00:00"/>
    <s v="Pass range appear home player."/>
    <x v="7"/>
    <n v="341.01"/>
    <x v="0"/>
    <x v="7"/>
    <n v="2022"/>
    <n v="-341.01"/>
  </r>
  <r>
    <d v="2022-08-29T00:00:00"/>
    <s v="Likely outside because."/>
    <x v="4"/>
    <n v="1933.95"/>
    <x v="0"/>
    <x v="7"/>
    <n v="2022"/>
    <n v="-1933.95"/>
  </r>
  <r>
    <d v="2022-08-30T00:00:00"/>
    <s v="He participant right."/>
    <x v="4"/>
    <n v="220.83"/>
    <x v="0"/>
    <x v="7"/>
    <n v="2022"/>
    <n v="-220.83"/>
  </r>
  <r>
    <d v="2022-08-31T00:00:00"/>
    <s v="Prevent expert white arm similar."/>
    <x v="3"/>
    <n v="4683"/>
    <x v="1"/>
    <x v="7"/>
    <n v="2022"/>
    <n v="4683"/>
  </r>
  <r>
    <d v="2022-08-31T00:00:00"/>
    <s v="Keep cut prevent sound."/>
    <x v="6"/>
    <n v="897.1"/>
    <x v="0"/>
    <x v="7"/>
    <n v="2022"/>
    <n v="-897.1"/>
  </r>
  <r>
    <d v="2022-09-01T00:00:00"/>
    <s v="Almost outside middle."/>
    <x v="1"/>
    <n v="696.49"/>
    <x v="0"/>
    <x v="8"/>
    <n v="2022"/>
    <n v="-696.49"/>
  </r>
  <r>
    <d v="2022-09-02T00:00:00"/>
    <s v="College already dream a church."/>
    <x v="3"/>
    <n v="2920"/>
    <x v="1"/>
    <x v="8"/>
    <n v="2022"/>
    <n v="2920"/>
  </r>
  <r>
    <d v="2022-09-03T00:00:00"/>
    <s v="Good house only military."/>
    <x v="2"/>
    <n v="240.98"/>
    <x v="0"/>
    <x v="8"/>
    <n v="2022"/>
    <n v="-240.98"/>
  </r>
  <r>
    <d v="2022-09-03T00:00:00"/>
    <s v="Near risk."/>
    <x v="1"/>
    <n v="703.17"/>
    <x v="0"/>
    <x v="8"/>
    <n v="2022"/>
    <n v="-703.17"/>
  </r>
  <r>
    <d v="2022-09-03T00:00:00"/>
    <s v="Give white everybody paper create."/>
    <x v="6"/>
    <n v="1047.02"/>
    <x v="0"/>
    <x v="8"/>
    <n v="2022"/>
    <n v="-1047.02"/>
  </r>
  <r>
    <d v="2022-09-04T00:00:00"/>
    <s v="Above company media next me."/>
    <x v="2"/>
    <n v="881.95"/>
    <x v="0"/>
    <x v="8"/>
    <n v="2022"/>
    <n v="-881.95"/>
  </r>
  <r>
    <d v="2022-09-04T00:00:00"/>
    <s v="Sort what."/>
    <x v="7"/>
    <n v="143.68"/>
    <x v="0"/>
    <x v="8"/>
    <n v="2022"/>
    <n v="-143.68"/>
  </r>
  <r>
    <d v="2022-09-05T00:00:00"/>
    <s v="Economic kind help low during."/>
    <x v="3"/>
    <n v="685"/>
    <x v="1"/>
    <x v="8"/>
    <n v="2022"/>
    <n v="685"/>
  </r>
  <r>
    <d v="2022-09-06T00:00:00"/>
    <s v="Race to television loss."/>
    <x v="2"/>
    <n v="1357.51"/>
    <x v="0"/>
    <x v="8"/>
    <n v="2022"/>
    <n v="-1357.51"/>
  </r>
  <r>
    <d v="2022-09-07T00:00:00"/>
    <s v="Him small."/>
    <x v="3"/>
    <n v="4727"/>
    <x v="1"/>
    <x v="8"/>
    <n v="2022"/>
    <n v="4727"/>
  </r>
  <r>
    <d v="2022-09-08T00:00:00"/>
    <s v="Son include good."/>
    <x v="3"/>
    <n v="3211"/>
    <x v="1"/>
    <x v="8"/>
    <n v="2022"/>
    <n v="3211"/>
  </r>
  <r>
    <d v="2022-09-10T00:00:00"/>
    <s v="Red enjoy."/>
    <x v="8"/>
    <n v="471.39"/>
    <x v="0"/>
    <x v="8"/>
    <n v="2022"/>
    <n v="-471.39"/>
  </r>
  <r>
    <d v="2022-09-11T00:00:00"/>
    <s v="Human see."/>
    <x v="1"/>
    <n v="380.91"/>
    <x v="0"/>
    <x v="8"/>
    <n v="2022"/>
    <n v="-380.91"/>
  </r>
  <r>
    <d v="2022-09-11T00:00:00"/>
    <s v="Never condition."/>
    <x v="4"/>
    <n v="68.09"/>
    <x v="0"/>
    <x v="8"/>
    <n v="2022"/>
    <n v="-68.09"/>
  </r>
  <r>
    <d v="2022-09-12T00:00:00"/>
    <s v="Despite off consumer second."/>
    <x v="6"/>
    <n v="904.65"/>
    <x v="0"/>
    <x v="8"/>
    <n v="2022"/>
    <n v="-904.65"/>
  </r>
  <r>
    <d v="2022-09-14T00:00:00"/>
    <s v="Say dog drug enter."/>
    <x v="0"/>
    <n v="1412.42"/>
    <x v="0"/>
    <x v="8"/>
    <n v="2022"/>
    <n v="-1412.42"/>
  </r>
  <r>
    <d v="2022-09-15T00:00:00"/>
    <s v="Strong student green."/>
    <x v="2"/>
    <n v="1158.92"/>
    <x v="0"/>
    <x v="8"/>
    <n v="2022"/>
    <n v="-1158.92"/>
  </r>
  <r>
    <d v="2022-09-15T00:00:00"/>
    <s v="Turn put professional."/>
    <x v="1"/>
    <n v="737.93"/>
    <x v="0"/>
    <x v="8"/>
    <n v="2022"/>
    <n v="-737.93"/>
  </r>
  <r>
    <d v="2022-09-17T00:00:00"/>
    <s v="When summer he firm together."/>
    <x v="3"/>
    <n v="2649"/>
    <x v="1"/>
    <x v="8"/>
    <n v="2022"/>
    <n v="2649"/>
  </r>
  <r>
    <d v="2022-09-18T00:00:00"/>
    <s v="Make worker trouble."/>
    <x v="8"/>
    <n v="1060.1500000000001"/>
    <x v="0"/>
    <x v="8"/>
    <n v="2022"/>
    <n v="-1060.1500000000001"/>
  </r>
  <r>
    <d v="2022-09-19T00:00:00"/>
    <s v="Develop office approach son."/>
    <x v="4"/>
    <n v="1226.5"/>
    <x v="0"/>
    <x v="8"/>
    <n v="2022"/>
    <n v="-1226.5"/>
  </r>
  <r>
    <d v="2022-09-19T00:00:00"/>
    <s v="Allow girl team simply lead."/>
    <x v="7"/>
    <n v="710.45"/>
    <x v="0"/>
    <x v="8"/>
    <n v="2022"/>
    <n v="-710.45"/>
  </r>
  <r>
    <d v="2022-09-21T00:00:00"/>
    <s v="Least ready activity decision ok."/>
    <x v="1"/>
    <n v="1629.34"/>
    <x v="0"/>
    <x v="8"/>
    <n v="2022"/>
    <n v="-1629.34"/>
  </r>
  <r>
    <d v="2022-09-23T00:00:00"/>
    <s v="Party employee nature down."/>
    <x v="9"/>
    <n v="1838.18"/>
    <x v="0"/>
    <x v="8"/>
    <n v="2022"/>
    <n v="-1838.18"/>
  </r>
  <r>
    <d v="2022-09-26T00:00:00"/>
    <s v="Gas contain interest industry sell."/>
    <x v="1"/>
    <n v="633.24"/>
    <x v="0"/>
    <x v="8"/>
    <n v="2022"/>
    <n v="-633.24"/>
  </r>
  <r>
    <d v="2022-09-26T00:00:00"/>
    <s v="Evidence conference capital office."/>
    <x v="2"/>
    <n v="374.26"/>
    <x v="0"/>
    <x v="8"/>
    <n v="2022"/>
    <n v="-374.26"/>
  </r>
  <r>
    <d v="2022-09-28T00:00:00"/>
    <s v="Result sound."/>
    <x v="4"/>
    <n v="842.3"/>
    <x v="0"/>
    <x v="8"/>
    <n v="2022"/>
    <n v="-842.3"/>
  </r>
  <r>
    <d v="2022-09-29T00:00:00"/>
    <s v="Task cultural son school."/>
    <x v="5"/>
    <n v="3965"/>
    <x v="1"/>
    <x v="8"/>
    <n v="2022"/>
    <n v="3965"/>
  </r>
  <r>
    <d v="2022-09-29T00:00:00"/>
    <s v="Computer matter."/>
    <x v="3"/>
    <n v="1866"/>
    <x v="1"/>
    <x v="8"/>
    <n v="2022"/>
    <n v="1866"/>
  </r>
  <r>
    <d v="2022-09-30T00:00:00"/>
    <s v="Result size feel no nothing."/>
    <x v="1"/>
    <n v="382.33"/>
    <x v="0"/>
    <x v="8"/>
    <n v="2022"/>
    <n v="-382.33"/>
  </r>
  <r>
    <d v="2022-10-01T00:00:00"/>
    <s v="Real art."/>
    <x v="0"/>
    <n v="1732.39"/>
    <x v="0"/>
    <x v="9"/>
    <n v="2022"/>
    <n v="-1732.39"/>
  </r>
  <r>
    <d v="2022-10-02T00:00:00"/>
    <s v="Stuff benefit seat employee."/>
    <x v="8"/>
    <n v="281.7"/>
    <x v="0"/>
    <x v="9"/>
    <n v="2022"/>
    <n v="-281.7"/>
  </r>
  <r>
    <d v="2022-10-03T00:00:00"/>
    <s v="Newspaper special general in go."/>
    <x v="8"/>
    <n v="824.18"/>
    <x v="0"/>
    <x v="9"/>
    <n v="2022"/>
    <n v="-824.18"/>
  </r>
  <r>
    <d v="2022-10-04T00:00:00"/>
    <s v="Office power company sister great."/>
    <x v="8"/>
    <n v="982.51"/>
    <x v="0"/>
    <x v="9"/>
    <n v="2022"/>
    <n v="-982.51"/>
  </r>
  <r>
    <d v="2022-10-04T00:00:00"/>
    <s v="Simple land bad party."/>
    <x v="3"/>
    <n v="2306"/>
    <x v="1"/>
    <x v="9"/>
    <n v="2022"/>
    <n v="2306"/>
  </r>
  <r>
    <d v="2022-10-05T00:00:00"/>
    <s v="What than political up instead."/>
    <x v="9"/>
    <n v="457.44"/>
    <x v="0"/>
    <x v="9"/>
    <n v="2022"/>
    <n v="-457.44"/>
  </r>
  <r>
    <d v="2022-10-08T00:00:00"/>
    <s v="Support author class direction."/>
    <x v="8"/>
    <n v="1135.6400000000001"/>
    <x v="0"/>
    <x v="9"/>
    <n v="2022"/>
    <n v="-1135.6400000000001"/>
  </r>
  <r>
    <d v="2022-10-10T00:00:00"/>
    <s v="Report painting house."/>
    <x v="8"/>
    <n v="1103.96"/>
    <x v="0"/>
    <x v="9"/>
    <n v="2022"/>
    <n v="-1103.96"/>
  </r>
  <r>
    <d v="2022-10-12T00:00:00"/>
    <s v="Security minute late cold."/>
    <x v="3"/>
    <n v="2694"/>
    <x v="1"/>
    <x v="9"/>
    <n v="2022"/>
    <n v="2694"/>
  </r>
  <r>
    <d v="2022-10-12T00:00:00"/>
    <s v="Road product wait."/>
    <x v="7"/>
    <n v="1088.67"/>
    <x v="0"/>
    <x v="9"/>
    <n v="2022"/>
    <n v="-1088.67"/>
  </r>
  <r>
    <d v="2022-10-13T00:00:00"/>
    <s v="Cold billion as."/>
    <x v="8"/>
    <n v="1097.24"/>
    <x v="0"/>
    <x v="9"/>
    <n v="2022"/>
    <n v="-1097.24"/>
  </r>
  <r>
    <d v="2022-10-19T00:00:00"/>
    <s v="Approach side model you billion."/>
    <x v="2"/>
    <n v="1474.62"/>
    <x v="0"/>
    <x v="9"/>
    <n v="2022"/>
    <n v="-1474.62"/>
  </r>
  <r>
    <d v="2022-10-19T00:00:00"/>
    <s v="Pressure those."/>
    <x v="6"/>
    <n v="602.44000000000005"/>
    <x v="0"/>
    <x v="9"/>
    <n v="2022"/>
    <n v="-602.44000000000005"/>
  </r>
  <r>
    <d v="2022-10-20T00:00:00"/>
    <s v="Easy exist phone."/>
    <x v="8"/>
    <n v="533"/>
    <x v="0"/>
    <x v="9"/>
    <n v="2022"/>
    <n v="-533"/>
  </r>
  <r>
    <d v="2022-10-21T00:00:00"/>
    <s v="Stuff agreement professional team foot."/>
    <x v="2"/>
    <n v="883.75"/>
    <x v="0"/>
    <x v="9"/>
    <n v="2022"/>
    <n v="-883.75"/>
  </r>
  <r>
    <d v="2022-10-22T00:00:00"/>
    <s v="Window music evening know."/>
    <x v="6"/>
    <n v="427.66"/>
    <x v="0"/>
    <x v="9"/>
    <n v="2022"/>
    <n v="-427.66"/>
  </r>
  <r>
    <d v="2022-10-23T00:00:00"/>
    <s v="Opportunity lead see."/>
    <x v="7"/>
    <n v="1723.49"/>
    <x v="0"/>
    <x v="9"/>
    <n v="2022"/>
    <n v="-1723.49"/>
  </r>
  <r>
    <d v="2022-10-25T00:00:00"/>
    <s v="Model police finally girl."/>
    <x v="4"/>
    <n v="340.3"/>
    <x v="0"/>
    <x v="9"/>
    <n v="2022"/>
    <n v="-340.3"/>
  </r>
  <r>
    <d v="2022-10-28T00:00:00"/>
    <s v="Source kind hand."/>
    <x v="3"/>
    <n v="2195"/>
    <x v="1"/>
    <x v="9"/>
    <n v="2022"/>
    <n v="2195"/>
  </r>
  <r>
    <d v="2022-10-30T00:00:00"/>
    <s v="Field a spring."/>
    <x v="7"/>
    <n v="1069.24"/>
    <x v="0"/>
    <x v="9"/>
    <n v="2022"/>
    <n v="-1069.24"/>
  </r>
  <r>
    <d v="2022-10-31T00:00:00"/>
    <s v="Expert movement reach man."/>
    <x v="1"/>
    <n v="654.07000000000005"/>
    <x v="0"/>
    <x v="9"/>
    <n v="2022"/>
    <n v="-654.07000000000005"/>
  </r>
  <r>
    <d v="2022-11-03T00:00:00"/>
    <s v="Across involve fall."/>
    <x v="9"/>
    <n v="1149.74"/>
    <x v="0"/>
    <x v="10"/>
    <n v="2022"/>
    <n v="-1149.74"/>
  </r>
  <r>
    <d v="2022-11-04T00:00:00"/>
    <s v="Nature country."/>
    <x v="2"/>
    <n v="279.82"/>
    <x v="0"/>
    <x v="10"/>
    <n v="2022"/>
    <n v="-279.82"/>
  </r>
  <r>
    <d v="2022-11-05T00:00:00"/>
    <s v="House clear say hope."/>
    <x v="4"/>
    <n v="1838.35"/>
    <x v="0"/>
    <x v="10"/>
    <n v="2022"/>
    <n v="-1838.35"/>
  </r>
  <r>
    <d v="2022-11-07T00:00:00"/>
    <s v="Enjoy instead dream."/>
    <x v="1"/>
    <n v="1405.84"/>
    <x v="0"/>
    <x v="10"/>
    <n v="2022"/>
    <n v="-1405.84"/>
  </r>
  <r>
    <d v="2022-11-07T00:00:00"/>
    <s v="Possible mother especially."/>
    <x v="3"/>
    <n v="3138"/>
    <x v="1"/>
    <x v="10"/>
    <n v="2022"/>
    <n v="3138"/>
  </r>
  <r>
    <d v="2022-11-09T00:00:00"/>
    <s v="Consumer face."/>
    <x v="4"/>
    <n v="984.02"/>
    <x v="0"/>
    <x v="10"/>
    <n v="2022"/>
    <n v="-984.02"/>
  </r>
  <r>
    <d v="2022-11-10T00:00:00"/>
    <s v="Laugh red man fly charge."/>
    <x v="9"/>
    <n v="1259.3499999999999"/>
    <x v="0"/>
    <x v="10"/>
    <n v="2022"/>
    <n v="-1259.3499999999999"/>
  </r>
  <r>
    <d v="2022-11-13T00:00:00"/>
    <s v="Control bill."/>
    <x v="2"/>
    <n v="1270.92"/>
    <x v="0"/>
    <x v="10"/>
    <n v="2022"/>
    <n v="-1270.92"/>
  </r>
  <r>
    <d v="2022-11-14T00:00:00"/>
    <s v="Resource road do."/>
    <x v="2"/>
    <n v="811.67"/>
    <x v="0"/>
    <x v="10"/>
    <n v="2022"/>
    <n v="-811.67"/>
  </r>
  <r>
    <d v="2022-11-14T00:00:00"/>
    <s v="Management game."/>
    <x v="7"/>
    <n v="914.84"/>
    <x v="0"/>
    <x v="10"/>
    <n v="2022"/>
    <n v="-914.84"/>
  </r>
  <r>
    <d v="2022-11-15T00:00:00"/>
    <s v="Your less social form."/>
    <x v="0"/>
    <n v="1739.13"/>
    <x v="0"/>
    <x v="10"/>
    <n v="2022"/>
    <n v="-1739.13"/>
  </r>
  <r>
    <d v="2022-11-17T00:00:00"/>
    <s v="Entire hotel."/>
    <x v="2"/>
    <n v="1464.55"/>
    <x v="0"/>
    <x v="10"/>
    <n v="2022"/>
    <n v="-1464.55"/>
  </r>
  <r>
    <d v="2022-11-17T00:00:00"/>
    <s v="Consider time economic high."/>
    <x v="7"/>
    <n v="1701.71"/>
    <x v="0"/>
    <x v="10"/>
    <n v="2022"/>
    <n v="-1701.71"/>
  </r>
  <r>
    <d v="2022-11-18T00:00:00"/>
    <s v="Window research his."/>
    <x v="4"/>
    <n v="443.48"/>
    <x v="0"/>
    <x v="10"/>
    <n v="2022"/>
    <n v="-443.48"/>
  </r>
  <r>
    <d v="2022-11-19T00:00:00"/>
    <s v="Scene almost leave."/>
    <x v="6"/>
    <n v="994.48"/>
    <x v="0"/>
    <x v="10"/>
    <n v="2022"/>
    <n v="-994.48"/>
  </r>
  <r>
    <d v="2022-11-21T00:00:00"/>
    <s v="Program decade home which view."/>
    <x v="9"/>
    <n v="682.13"/>
    <x v="0"/>
    <x v="10"/>
    <n v="2022"/>
    <n v="-682.13"/>
  </r>
  <r>
    <d v="2022-11-22T00:00:00"/>
    <s v="Rock seat near business loss."/>
    <x v="8"/>
    <n v="1578.72"/>
    <x v="0"/>
    <x v="10"/>
    <n v="2022"/>
    <n v="-1578.72"/>
  </r>
  <r>
    <d v="2022-11-26T00:00:00"/>
    <s v="Growth appear project."/>
    <x v="0"/>
    <n v="101.43"/>
    <x v="0"/>
    <x v="10"/>
    <n v="2022"/>
    <n v="-101.43"/>
  </r>
  <r>
    <d v="2022-11-26T00:00:00"/>
    <s v="Plan foot cold."/>
    <x v="8"/>
    <n v="42.4"/>
    <x v="0"/>
    <x v="10"/>
    <n v="2022"/>
    <n v="-42.4"/>
  </r>
  <r>
    <d v="2022-11-28T00:00:00"/>
    <s v="Build smile across among situation."/>
    <x v="1"/>
    <n v="888.16"/>
    <x v="0"/>
    <x v="10"/>
    <n v="2022"/>
    <n v="-888.16"/>
  </r>
  <r>
    <d v="2022-11-28T00:00:00"/>
    <s v="Choice side eat matter rather."/>
    <x v="5"/>
    <n v="2157"/>
    <x v="1"/>
    <x v="10"/>
    <n v="2022"/>
    <n v="2157"/>
  </r>
  <r>
    <d v="2022-12-01T00:00:00"/>
    <s v="Art green child movie blue."/>
    <x v="1"/>
    <n v="1765.47"/>
    <x v="0"/>
    <x v="11"/>
    <n v="2022"/>
    <n v="-1765.47"/>
  </r>
  <r>
    <d v="2022-12-03T00:00:00"/>
    <s v="First next popular."/>
    <x v="9"/>
    <n v="195.75"/>
    <x v="0"/>
    <x v="11"/>
    <n v="2022"/>
    <n v="-195.75"/>
  </r>
  <r>
    <d v="2022-12-04T00:00:00"/>
    <s v="Run again help right."/>
    <x v="2"/>
    <n v="749.97"/>
    <x v="0"/>
    <x v="11"/>
    <n v="2022"/>
    <n v="-749.97"/>
  </r>
  <r>
    <d v="2022-12-05T00:00:00"/>
    <s v="Magazine join."/>
    <x v="1"/>
    <n v="113.06"/>
    <x v="0"/>
    <x v="11"/>
    <n v="2022"/>
    <n v="-113.06"/>
  </r>
  <r>
    <d v="2022-12-05T00:00:00"/>
    <s v="Recent couple cost girl run."/>
    <x v="6"/>
    <n v="864.17"/>
    <x v="0"/>
    <x v="11"/>
    <n v="2022"/>
    <n v="-864.17"/>
  </r>
  <r>
    <d v="2022-12-07T00:00:00"/>
    <s v="Trial never attention choice fast."/>
    <x v="3"/>
    <n v="508"/>
    <x v="1"/>
    <x v="11"/>
    <n v="2022"/>
    <n v="508"/>
  </r>
  <r>
    <d v="2022-12-12T00:00:00"/>
    <s v="Happen a point here control."/>
    <x v="2"/>
    <n v="274.07"/>
    <x v="0"/>
    <x v="11"/>
    <n v="2022"/>
    <n v="-274.07"/>
  </r>
  <r>
    <d v="2022-12-13T00:00:00"/>
    <s v="Task simply draw return probably."/>
    <x v="8"/>
    <n v="28.48"/>
    <x v="0"/>
    <x v="11"/>
    <n v="2022"/>
    <n v="-28.48"/>
  </r>
  <r>
    <d v="2022-12-15T00:00:00"/>
    <s v="Couple raise she child."/>
    <x v="2"/>
    <n v="1976.43"/>
    <x v="0"/>
    <x v="11"/>
    <n v="2022"/>
    <n v="-1976.43"/>
  </r>
  <r>
    <d v="2022-12-16T00:00:00"/>
    <s v="Important focus benefit probably."/>
    <x v="1"/>
    <n v="960.62"/>
    <x v="0"/>
    <x v="11"/>
    <n v="2022"/>
    <n v="-960.62"/>
  </r>
  <r>
    <d v="2022-12-18T00:00:00"/>
    <s v="Condition all blood."/>
    <x v="2"/>
    <n v="1464.22"/>
    <x v="0"/>
    <x v="11"/>
    <n v="2022"/>
    <n v="-1464.22"/>
  </r>
  <r>
    <d v="2022-12-22T00:00:00"/>
    <s v="All politics."/>
    <x v="5"/>
    <n v="3511"/>
    <x v="1"/>
    <x v="11"/>
    <n v="2022"/>
    <n v="3511"/>
  </r>
  <r>
    <d v="2022-12-28T00:00:00"/>
    <s v="Moment red eight hand."/>
    <x v="1"/>
    <n v="771.61"/>
    <x v="0"/>
    <x v="11"/>
    <n v="2022"/>
    <n v="-771.61"/>
  </r>
  <r>
    <d v="2022-12-30T00:00:00"/>
    <s v="Us decade."/>
    <x v="1"/>
    <n v="1286.74"/>
    <x v="0"/>
    <x v="11"/>
    <n v="2022"/>
    <n v="-1286.74"/>
  </r>
  <r>
    <d v="2022-12-31T00:00:00"/>
    <s v="Life police."/>
    <x v="2"/>
    <n v="1065.71"/>
    <x v="0"/>
    <x v="11"/>
    <n v="2022"/>
    <n v="-1065.71"/>
  </r>
  <r>
    <d v="2023-01-03T00:00:00"/>
    <s v="Sea three state some around."/>
    <x v="3"/>
    <n v="4105"/>
    <x v="1"/>
    <x v="0"/>
    <n v="2023"/>
    <n v="4105"/>
  </r>
  <r>
    <d v="2023-01-04T00:00:00"/>
    <s v="American audience fight war whether."/>
    <x v="6"/>
    <n v="1259.8800000000001"/>
    <x v="0"/>
    <x v="0"/>
    <n v="2023"/>
    <n v="-1259.8800000000001"/>
  </r>
  <r>
    <d v="2023-01-04T00:00:00"/>
    <s v="Rise mother."/>
    <x v="5"/>
    <n v="4124"/>
    <x v="1"/>
    <x v="0"/>
    <n v="2023"/>
    <n v="4124"/>
  </r>
  <r>
    <d v="2023-01-06T00:00:00"/>
    <s v="Moment eat personal."/>
    <x v="2"/>
    <n v="1794.22"/>
    <x v="0"/>
    <x v="0"/>
    <n v="2023"/>
    <n v="-1794.22"/>
  </r>
  <r>
    <d v="2023-01-09T00:00:00"/>
    <s v="See indeed black police group."/>
    <x v="3"/>
    <n v="3645"/>
    <x v="1"/>
    <x v="0"/>
    <n v="2023"/>
    <n v="3645"/>
  </r>
  <r>
    <d v="2023-01-10T00:00:00"/>
    <s v="Third coach congress husband."/>
    <x v="4"/>
    <n v="635.86"/>
    <x v="0"/>
    <x v="0"/>
    <n v="2023"/>
    <n v="-635.86"/>
  </r>
  <r>
    <d v="2023-01-11T00:00:00"/>
    <s v="Move outside value."/>
    <x v="5"/>
    <n v="1190"/>
    <x v="1"/>
    <x v="0"/>
    <n v="2023"/>
    <n v="1190"/>
  </r>
  <r>
    <d v="2023-01-13T00:00:00"/>
    <s v="Yard foot he share issue."/>
    <x v="9"/>
    <n v="1560.15"/>
    <x v="0"/>
    <x v="0"/>
    <n v="2023"/>
    <n v="-1560.15"/>
  </r>
  <r>
    <d v="2023-01-15T00:00:00"/>
    <s v="Drive nation heart nearly season."/>
    <x v="9"/>
    <n v="418.84"/>
    <x v="0"/>
    <x v="0"/>
    <n v="2023"/>
    <n v="-418.84"/>
  </r>
  <r>
    <d v="2023-01-16T00:00:00"/>
    <s v="Language however risk work."/>
    <x v="6"/>
    <n v="1498.21"/>
    <x v="0"/>
    <x v="0"/>
    <n v="2023"/>
    <n v="-1498.21"/>
  </r>
  <r>
    <d v="2023-01-17T00:00:00"/>
    <s v="Career three according worker democrat."/>
    <x v="0"/>
    <n v="1569.77"/>
    <x v="0"/>
    <x v="0"/>
    <n v="2023"/>
    <n v="-1569.77"/>
  </r>
  <r>
    <d v="2023-01-18T00:00:00"/>
    <s v="Sign wall."/>
    <x v="6"/>
    <n v="994.83"/>
    <x v="0"/>
    <x v="0"/>
    <n v="2023"/>
    <n v="-994.83"/>
  </r>
  <r>
    <d v="2023-01-19T00:00:00"/>
    <s v="Memory number occur behind leave."/>
    <x v="5"/>
    <n v="1081"/>
    <x v="1"/>
    <x v="0"/>
    <n v="2023"/>
    <n v="1081"/>
  </r>
  <r>
    <d v="2023-01-19T00:00:00"/>
    <s v="Enter threat economic."/>
    <x v="0"/>
    <n v="1973.9"/>
    <x v="0"/>
    <x v="0"/>
    <n v="2023"/>
    <n v="-1973.9"/>
  </r>
  <r>
    <d v="2023-01-19T00:00:00"/>
    <s v="Begin hundred truth."/>
    <x v="1"/>
    <n v="779.81"/>
    <x v="0"/>
    <x v="0"/>
    <n v="2023"/>
    <n v="-779.81"/>
  </r>
  <r>
    <d v="2023-01-19T00:00:00"/>
    <s v="Society common stay ready."/>
    <x v="4"/>
    <n v="737.17"/>
    <x v="0"/>
    <x v="0"/>
    <n v="2023"/>
    <n v="-737.17"/>
  </r>
  <r>
    <d v="2023-01-19T00:00:00"/>
    <s v="Organization feel."/>
    <x v="8"/>
    <n v="1909.36"/>
    <x v="0"/>
    <x v="0"/>
    <n v="2023"/>
    <n v="-1909.36"/>
  </r>
  <r>
    <d v="2023-01-20T00:00:00"/>
    <s v="Bad argue side girl."/>
    <x v="0"/>
    <n v="1178.8499999999999"/>
    <x v="0"/>
    <x v="0"/>
    <n v="2023"/>
    <n v="-1178.8499999999999"/>
  </r>
  <r>
    <d v="2023-01-21T00:00:00"/>
    <s v="Us building side section."/>
    <x v="3"/>
    <n v="826"/>
    <x v="1"/>
    <x v="0"/>
    <n v="2023"/>
    <n v="826"/>
  </r>
  <r>
    <d v="2023-01-21T00:00:00"/>
    <s v="Him fight american music change."/>
    <x v="4"/>
    <n v="1018.16"/>
    <x v="0"/>
    <x v="0"/>
    <n v="2023"/>
    <n v="-1018.16"/>
  </r>
  <r>
    <d v="2023-01-22T00:00:00"/>
    <s v="Check purpose young."/>
    <x v="4"/>
    <n v="852.91"/>
    <x v="0"/>
    <x v="0"/>
    <n v="2023"/>
    <n v="-852.91"/>
  </r>
  <r>
    <d v="2023-01-23T00:00:00"/>
    <s v="Offer bed it skill challenge."/>
    <x v="1"/>
    <n v="562.16"/>
    <x v="0"/>
    <x v="0"/>
    <n v="2023"/>
    <n v="-562.16"/>
  </r>
  <r>
    <d v="2023-01-23T00:00:00"/>
    <s v="Live seat."/>
    <x v="6"/>
    <n v="1948.88"/>
    <x v="0"/>
    <x v="0"/>
    <n v="2023"/>
    <n v="-1948.88"/>
  </r>
  <r>
    <d v="2023-01-23T00:00:00"/>
    <s v="Energy huge its recently."/>
    <x v="5"/>
    <n v="3700"/>
    <x v="1"/>
    <x v="0"/>
    <n v="2023"/>
    <n v="3700"/>
  </r>
  <r>
    <d v="2023-01-24T00:00:00"/>
    <s v="Nice maintain present cultural."/>
    <x v="2"/>
    <n v="627.24"/>
    <x v="0"/>
    <x v="0"/>
    <n v="2023"/>
    <n v="-627.24"/>
  </r>
  <r>
    <d v="2023-01-24T00:00:00"/>
    <s v="Drug entire involve."/>
    <x v="6"/>
    <n v="125.23"/>
    <x v="0"/>
    <x v="0"/>
    <n v="2023"/>
    <n v="-125.23"/>
  </r>
  <r>
    <d v="2023-01-24T00:00:00"/>
    <s v="Both including."/>
    <x v="5"/>
    <n v="1450"/>
    <x v="1"/>
    <x v="0"/>
    <n v="2023"/>
    <n v="1450"/>
  </r>
  <r>
    <d v="2023-01-24T00:00:00"/>
    <s v="Couple general pretty show."/>
    <x v="0"/>
    <n v="625.49"/>
    <x v="0"/>
    <x v="0"/>
    <n v="2023"/>
    <n v="-625.49"/>
  </r>
  <r>
    <d v="2023-01-24T00:00:00"/>
    <s v="Pattern wrong kind certainly."/>
    <x v="1"/>
    <n v="247.69"/>
    <x v="0"/>
    <x v="0"/>
    <n v="2023"/>
    <n v="-247.69"/>
  </r>
  <r>
    <d v="2023-01-24T00:00:00"/>
    <s v="Current health serious."/>
    <x v="0"/>
    <n v="336.03"/>
    <x v="0"/>
    <x v="0"/>
    <n v="2023"/>
    <n v="-336.03"/>
  </r>
  <r>
    <d v="2023-01-25T00:00:00"/>
    <s v="Science drug."/>
    <x v="9"/>
    <n v="342.26"/>
    <x v="0"/>
    <x v="0"/>
    <n v="2023"/>
    <n v="-342.26"/>
  </r>
  <r>
    <d v="2023-01-26T00:00:00"/>
    <s v="Add really born."/>
    <x v="5"/>
    <n v="1467"/>
    <x v="1"/>
    <x v="0"/>
    <n v="2023"/>
    <n v="1467"/>
  </r>
  <r>
    <d v="2023-01-27T00:00:00"/>
    <s v="Age decade mrs data."/>
    <x v="0"/>
    <n v="676.67"/>
    <x v="0"/>
    <x v="0"/>
    <n v="2023"/>
    <n v="-676.67"/>
  </r>
  <r>
    <d v="2023-01-27T00:00:00"/>
    <s v="Nature performance yeah."/>
    <x v="2"/>
    <n v="533.27"/>
    <x v="0"/>
    <x v="0"/>
    <n v="2023"/>
    <n v="-533.27"/>
  </r>
  <r>
    <d v="2023-01-28T00:00:00"/>
    <s v="On professional analysis color."/>
    <x v="2"/>
    <n v="997.33"/>
    <x v="0"/>
    <x v="0"/>
    <n v="2023"/>
    <n v="-997.33"/>
  </r>
  <r>
    <d v="2023-01-29T00:00:00"/>
    <s v="Smile peace apply."/>
    <x v="0"/>
    <n v="1004.22"/>
    <x v="0"/>
    <x v="0"/>
    <n v="2023"/>
    <n v="-1004.22"/>
  </r>
  <r>
    <d v="2023-01-29T00:00:00"/>
    <s v="Home even."/>
    <x v="7"/>
    <n v="323.05"/>
    <x v="0"/>
    <x v="0"/>
    <n v="2023"/>
    <n v="-323.05"/>
  </r>
  <r>
    <d v="2023-01-30T00:00:00"/>
    <s v="Affect test."/>
    <x v="2"/>
    <n v="464.52"/>
    <x v="0"/>
    <x v="0"/>
    <n v="2023"/>
    <n v="-464.52"/>
  </r>
  <r>
    <d v="2023-01-31T00:00:00"/>
    <s v="Woman meet report."/>
    <x v="0"/>
    <n v="1718.79"/>
    <x v="0"/>
    <x v="0"/>
    <n v="2023"/>
    <n v="-1718.79"/>
  </r>
  <r>
    <d v="2023-01-31T00:00:00"/>
    <s v="Term mother cost may."/>
    <x v="3"/>
    <n v="4364"/>
    <x v="1"/>
    <x v="0"/>
    <n v="2023"/>
    <n v="4364"/>
  </r>
  <r>
    <d v="2023-02-01T00:00:00"/>
    <s v="Unit again easy morning four."/>
    <x v="1"/>
    <n v="366.13"/>
    <x v="0"/>
    <x v="1"/>
    <n v="2023"/>
    <n v="-366.13"/>
  </r>
  <r>
    <d v="2023-02-02T00:00:00"/>
    <s v="Adult range green."/>
    <x v="0"/>
    <n v="1110.2"/>
    <x v="0"/>
    <x v="1"/>
    <n v="2023"/>
    <n v="-1110.2"/>
  </r>
  <r>
    <d v="2023-02-03T00:00:00"/>
    <s v="You without every."/>
    <x v="4"/>
    <n v="456.79"/>
    <x v="0"/>
    <x v="1"/>
    <n v="2023"/>
    <n v="-456.79"/>
  </r>
  <r>
    <d v="2023-02-06T00:00:00"/>
    <s v="Election hit yourself wrong want."/>
    <x v="7"/>
    <n v="549.79999999999995"/>
    <x v="0"/>
    <x v="1"/>
    <n v="2023"/>
    <n v="-549.79999999999995"/>
  </r>
  <r>
    <d v="2023-02-07T00:00:00"/>
    <s v="Charge today prevent."/>
    <x v="5"/>
    <n v="1478"/>
    <x v="1"/>
    <x v="1"/>
    <n v="2023"/>
    <n v="1478"/>
  </r>
  <r>
    <d v="2023-02-07T00:00:00"/>
    <s v="Minute question their rather."/>
    <x v="0"/>
    <n v="366.9"/>
    <x v="0"/>
    <x v="1"/>
    <n v="2023"/>
    <n v="-366.9"/>
  </r>
  <r>
    <d v="2023-02-08T00:00:00"/>
    <s v="Of interview fine."/>
    <x v="0"/>
    <n v="1908.62"/>
    <x v="0"/>
    <x v="1"/>
    <n v="2023"/>
    <n v="-1908.62"/>
  </r>
  <r>
    <d v="2023-02-08T00:00:00"/>
    <s v="My deal catch must."/>
    <x v="5"/>
    <n v="2812"/>
    <x v="1"/>
    <x v="1"/>
    <n v="2023"/>
    <n v="2812"/>
  </r>
  <r>
    <d v="2023-02-09T00:00:00"/>
    <s v="Finally relate model."/>
    <x v="9"/>
    <n v="661.33"/>
    <x v="0"/>
    <x v="1"/>
    <n v="2023"/>
    <n v="-661.33"/>
  </r>
  <r>
    <d v="2023-02-12T00:00:00"/>
    <s v="Yet wish certain usually."/>
    <x v="0"/>
    <n v="744.15"/>
    <x v="0"/>
    <x v="1"/>
    <n v="2023"/>
    <n v="-744.15"/>
  </r>
  <r>
    <d v="2023-02-13T00:00:00"/>
    <s v="Attack mouth rest contain."/>
    <x v="9"/>
    <n v="1481.76"/>
    <x v="0"/>
    <x v="1"/>
    <n v="2023"/>
    <n v="-1481.76"/>
  </r>
  <r>
    <d v="2023-02-15T00:00:00"/>
    <s v="She they."/>
    <x v="7"/>
    <n v="1187.46"/>
    <x v="0"/>
    <x v="1"/>
    <n v="2023"/>
    <n v="-1187.46"/>
  </r>
  <r>
    <d v="2023-02-16T00:00:00"/>
    <s v="Field seat start pm."/>
    <x v="6"/>
    <n v="1467.6"/>
    <x v="0"/>
    <x v="1"/>
    <n v="2023"/>
    <n v="-1467.6"/>
  </r>
  <r>
    <d v="2023-02-18T00:00:00"/>
    <s v="Single blood continue."/>
    <x v="6"/>
    <n v="309.63"/>
    <x v="0"/>
    <x v="1"/>
    <n v="2023"/>
    <n v="-309.63"/>
  </r>
  <r>
    <d v="2023-02-20T00:00:00"/>
    <s v="Note discuss discussion reach grow."/>
    <x v="0"/>
    <n v="473.67"/>
    <x v="0"/>
    <x v="1"/>
    <n v="2023"/>
    <n v="-473.67"/>
  </r>
  <r>
    <d v="2023-02-20T00:00:00"/>
    <s v="Maybe painting republican."/>
    <x v="0"/>
    <n v="1902.47"/>
    <x v="0"/>
    <x v="1"/>
    <n v="2023"/>
    <n v="-1902.47"/>
  </r>
  <r>
    <d v="2023-02-22T00:00:00"/>
    <s v="System man case."/>
    <x v="5"/>
    <n v="3019"/>
    <x v="1"/>
    <x v="1"/>
    <n v="2023"/>
    <n v="3019"/>
  </r>
  <r>
    <d v="2023-02-22T00:00:00"/>
    <s v="Allow share address."/>
    <x v="3"/>
    <n v="3939"/>
    <x v="1"/>
    <x v="1"/>
    <n v="2023"/>
    <n v="3939"/>
  </r>
  <r>
    <d v="2023-02-24T00:00:00"/>
    <s v="Development provide dark daughter."/>
    <x v="0"/>
    <n v="1945.39"/>
    <x v="0"/>
    <x v="1"/>
    <n v="2023"/>
    <n v="-1945.39"/>
  </r>
  <r>
    <d v="2023-02-26T00:00:00"/>
    <s v="Term majority foot leader."/>
    <x v="5"/>
    <n v="1262"/>
    <x v="1"/>
    <x v="1"/>
    <n v="2023"/>
    <n v="1262"/>
  </r>
  <r>
    <d v="2023-02-26T00:00:00"/>
    <s v="If among save herself."/>
    <x v="3"/>
    <n v="4757"/>
    <x v="1"/>
    <x v="1"/>
    <n v="2023"/>
    <n v="4757"/>
  </r>
  <r>
    <d v="2023-02-26T00:00:00"/>
    <s v="Particularly score order modern."/>
    <x v="7"/>
    <n v="922.33"/>
    <x v="0"/>
    <x v="1"/>
    <n v="2023"/>
    <n v="-922.33"/>
  </r>
  <r>
    <d v="2023-02-28T00:00:00"/>
    <s v="Body lead there there early."/>
    <x v="2"/>
    <n v="1015.8"/>
    <x v="0"/>
    <x v="1"/>
    <n v="2023"/>
    <n v="-1015.8"/>
  </r>
  <r>
    <d v="2023-03-03T00:00:00"/>
    <s v="Worker always hold share."/>
    <x v="4"/>
    <n v="158.91"/>
    <x v="0"/>
    <x v="2"/>
    <n v="2023"/>
    <n v="-158.91"/>
  </r>
  <r>
    <d v="2023-03-03T00:00:00"/>
    <s v="Fact huge fight."/>
    <x v="4"/>
    <n v="1328.26"/>
    <x v="0"/>
    <x v="2"/>
    <n v="2023"/>
    <n v="-1328.26"/>
  </r>
  <r>
    <d v="2023-03-05T00:00:00"/>
    <s v="Coach family try ready."/>
    <x v="5"/>
    <n v="2638"/>
    <x v="1"/>
    <x v="2"/>
    <n v="2023"/>
    <n v="2638"/>
  </r>
  <r>
    <d v="2023-03-05T00:00:00"/>
    <s v="Stop later reveal both."/>
    <x v="4"/>
    <n v="1404.44"/>
    <x v="0"/>
    <x v="2"/>
    <n v="2023"/>
    <n v="-1404.44"/>
  </r>
  <r>
    <d v="2023-03-05T00:00:00"/>
    <s v="Career including late condition opportunity."/>
    <x v="7"/>
    <n v="910.99"/>
    <x v="0"/>
    <x v="2"/>
    <n v="2023"/>
    <n v="-910.99"/>
  </r>
  <r>
    <d v="2023-03-07T00:00:00"/>
    <s v="Bed food possible represent."/>
    <x v="6"/>
    <n v="280.86"/>
    <x v="0"/>
    <x v="2"/>
    <n v="2023"/>
    <n v="-280.86"/>
  </r>
  <r>
    <d v="2023-03-08T00:00:00"/>
    <s v="Before relationship plant."/>
    <x v="2"/>
    <n v="319.27"/>
    <x v="0"/>
    <x v="2"/>
    <n v="2023"/>
    <n v="-319.27"/>
  </r>
  <r>
    <d v="2023-03-08T00:00:00"/>
    <s v="Religious risk window partner civil."/>
    <x v="5"/>
    <n v="3072"/>
    <x v="1"/>
    <x v="2"/>
    <n v="2023"/>
    <n v="3072"/>
  </r>
  <r>
    <d v="2023-03-08T00:00:00"/>
    <s v="Analysis color friend the."/>
    <x v="7"/>
    <n v="1929.62"/>
    <x v="0"/>
    <x v="2"/>
    <n v="2023"/>
    <n v="-1929.62"/>
  </r>
  <r>
    <d v="2023-03-08T00:00:00"/>
    <s v="Than condition republican."/>
    <x v="9"/>
    <n v="932.06"/>
    <x v="0"/>
    <x v="2"/>
    <n v="2023"/>
    <n v="-932.06"/>
  </r>
  <r>
    <d v="2023-03-10T00:00:00"/>
    <s v="Finally shoulder land."/>
    <x v="2"/>
    <n v="323.64999999999998"/>
    <x v="0"/>
    <x v="2"/>
    <n v="2023"/>
    <n v="-323.64999999999998"/>
  </r>
  <r>
    <d v="2023-03-10T00:00:00"/>
    <s v="Together whether about."/>
    <x v="0"/>
    <n v="437.89"/>
    <x v="0"/>
    <x v="2"/>
    <n v="2023"/>
    <n v="-437.89"/>
  </r>
  <r>
    <d v="2023-03-12T00:00:00"/>
    <s v="Learn talk."/>
    <x v="1"/>
    <n v="191.51"/>
    <x v="0"/>
    <x v="2"/>
    <n v="2023"/>
    <n v="-191.51"/>
  </r>
  <r>
    <d v="2023-03-13T00:00:00"/>
    <s v="Part management."/>
    <x v="7"/>
    <n v="798.53"/>
    <x v="0"/>
    <x v="2"/>
    <n v="2023"/>
    <n v="-798.53"/>
  </r>
  <r>
    <d v="2023-03-13T00:00:00"/>
    <s v="Process law kind over according."/>
    <x v="5"/>
    <n v="2631"/>
    <x v="1"/>
    <x v="2"/>
    <n v="2023"/>
    <n v="2631"/>
  </r>
  <r>
    <d v="2023-03-13T00:00:00"/>
    <s v="People newspaper stay."/>
    <x v="1"/>
    <n v="71.849999999999994"/>
    <x v="0"/>
    <x v="2"/>
    <n v="2023"/>
    <n v="-71.849999999999994"/>
  </r>
  <r>
    <d v="2023-03-15T00:00:00"/>
    <s v="Challenge president already."/>
    <x v="8"/>
    <n v="1116.3499999999999"/>
    <x v="0"/>
    <x v="2"/>
    <n v="2023"/>
    <n v="-1116.3499999999999"/>
  </r>
  <r>
    <d v="2023-03-15T00:00:00"/>
    <s v="Study fear turn any indicate."/>
    <x v="2"/>
    <n v="929.47"/>
    <x v="0"/>
    <x v="2"/>
    <n v="2023"/>
    <n v="-929.47"/>
  </r>
  <r>
    <d v="2023-03-16T00:00:00"/>
    <s v="Public particularly reality."/>
    <x v="1"/>
    <n v="251.69"/>
    <x v="0"/>
    <x v="2"/>
    <n v="2023"/>
    <n v="-251.69"/>
  </r>
  <r>
    <d v="2023-03-16T00:00:00"/>
    <s v="Concern lay often use behavior."/>
    <x v="3"/>
    <n v="1570"/>
    <x v="1"/>
    <x v="2"/>
    <n v="2023"/>
    <n v="1570"/>
  </r>
  <r>
    <d v="2023-03-18T00:00:00"/>
    <s v="Happy her attack interview."/>
    <x v="5"/>
    <n v="3549"/>
    <x v="1"/>
    <x v="2"/>
    <n v="2023"/>
    <n v="3549"/>
  </r>
  <r>
    <d v="2023-03-18T00:00:00"/>
    <s v="Fall care."/>
    <x v="2"/>
    <n v="1168.82"/>
    <x v="0"/>
    <x v="2"/>
    <n v="2023"/>
    <n v="-1168.82"/>
  </r>
  <r>
    <d v="2023-03-21T00:00:00"/>
    <s v="Money modern receive partner."/>
    <x v="2"/>
    <n v="53.38"/>
    <x v="0"/>
    <x v="2"/>
    <n v="2023"/>
    <n v="-53.38"/>
  </r>
  <r>
    <d v="2023-03-22T00:00:00"/>
    <s v="Role pick would low read."/>
    <x v="5"/>
    <n v="1555"/>
    <x v="1"/>
    <x v="2"/>
    <n v="2023"/>
    <n v="1555"/>
  </r>
  <r>
    <d v="2023-03-23T00:00:00"/>
    <s v="Participant first moment yet."/>
    <x v="5"/>
    <n v="1503"/>
    <x v="1"/>
    <x v="2"/>
    <n v="2023"/>
    <n v="1503"/>
  </r>
  <r>
    <d v="2023-03-23T00:00:00"/>
    <s v="Pass market role."/>
    <x v="5"/>
    <n v="914"/>
    <x v="1"/>
    <x v="2"/>
    <n v="2023"/>
    <n v="914"/>
  </r>
  <r>
    <d v="2023-03-23T00:00:00"/>
    <s v="Space this discussion fact."/>
    <x v="5"/>
    <n v="3735"/>
    <x v="1"/>
    <x v="2"/>
    <n v="2023"/>
    <n v="3735"/>
  </r>
  <r>
    <d v="2023-03-24T00:00:00"/>
    <s v="Brother let."/>
    <x v="4"/>
    <n v="1369.59"/>
    <x v="0"/>
    <x v="2"/>
    <n v="2023"/>
    <n v="-1369.59"/>
  </r>
  <r>
    <d v="2023-03-27T00:00:00"/>
    <s v="Son yourself increase."/>
    <x v="3"/>
    <n v="2033"/>
    <x v="1"/>
    <x v="2"/>
    <n v="2023"/>
    <n v="2033"/>
  </r>
  <r>
    <d v="2023-03-29T00:00:00"/>
    <s v="Night point action cut."/>
    <x v="8"/>
    <n v="1768.01"/>
    <x v="0"/>
    <x v="2"/>
    <n v="2023"/>
    <n v="-1768.01"/>
  </r>
  <r>
    <d v="2023-03-30T00:00:00"/>
    <s v="So film media."/>
    <x v="3"/>
    <n v="2917"/>
    <x v="1"/>
    <x v="2"/>
    <n v="2023"/>
    <n v="2917"/>
  </r>
  <r>
    <d v="2023-03-31T00:00:00"/>
    <s v="Box four."/>
    <x v="8"/>
    <n v="131.35"/>
    <x v="0"/>
    <x v="2"/>
    <n v="2023"/>
    <n v="-131.35"/>
  </r>
  <r>
    <d v="2023-03-31T00:00:00"/>
    <s v="Pattern ahead compare form full."/>
    <x v="1"/>
    <n v="844.28"/>
    <x v="0"/>
    <x v="2"/>
    <n v="2023"/>
    <n v="-844.28"/>
  </r>
  <r>
    <d v="2023-04-01T00:00:00"/>
    <s v="Something population loss physical."/>
    <x v="6"/>
    <n v="1265.2"/>
    <x v="0"/>
    <x v="3"/>
    <n v="2023"/>
    <n v="-1265.2"/>
  </r>
  <r>
    <d v="2023-04-01T00:00:00"/>
    <s v="Leg sport until argue."/>
    <x v="0"/>
    <n v="1978.91"/>
    <x v="0"/>
    <x v="3"/>
    <n v="2023"/>
    <n v="-1978.91"/>
  </r>
  <r>
    <d v="2023-04-04T00:00:00"/>
    <s v="North question new."/>
    <x v="7"/>
    <n v="964.57"/>
    <x v="0"/>
    <x v="3"/>
    <n v="2023"/>
    <n v="-964.57"/>
  </r>
  <r>
    <d v="2023-04-07T00:00:00"/>
    <s v="Officer forward trouble."/>
    <x v="7"/>
    <n v="1826.23"/>
    <x v="0"/>
    <x v="3"/>
    <n v="2023"/>
    <n v="-1826.23"/>
  </r>
  <r>
    <d v="2023-04-08T00:00:00"/>
    <s v="Wide exactly."/>
    <x v="4"/>
    <n v="548.16999999999996"/>
    <x v="0"/>
    <x v="3"/>
    <n v="2023"/>
    <n v="-548.16999999999996"/>
  </r>
  <r>
    <d v="2023-04-09T00:00:00"/>
    <s v="Worker phone success number."/>
    <x v="3"/>
    <n v="740"/>
    <x v="1"/>
    <x v="3"/>
    <n v="2023"/>
    <n v="740"/>
  </r>
  <r>
    <d v="2023-04-10T00:00:00"/>
    <s v="Organization ten seem."/>
    <x v="9"/>
    <n v="126.6"/>
    <x v="0"/>
    <x v="3"/>
    <n v="2023"/>
    <n v="-126.6"/>
  </r>
  <r>
    <d v="2023-04-10T00:00:00"/>
    <s v="Even beautiful."/>
    <x v="7"/>
    <n v="1536.02"/>
    <x v="0"/>
    <x v="3"/>
    <n v="2023"/>
    <n v="-1536.02"/>
  </r>
  <r>
    <d v="2023-04-13T00:00:00"/>
    <s v="Later week democratic few."/>
    <x v="1"/>
    <n v="209.27"/>
    <x v="0"/>
    <x v="3"/>
    <n v="2023"/>
    <n v="-209.27"/>
  </r>
  <r>
    <d v="2023-04-15T00:00:00"/>
    <s v="Size sing tree kitchen."/>
    <x v="9"/>
    <n v="1072.04"/>
    <x v="0"/>
    <x v="3"/>
    <n v="2023"/>
    <n v="-1072.04"/>
  </r>
  <r>
    <d v="2023-04-16T00:00:00"/>
    <s v="Toward child future low."/>
    <x v="0"/>
    <n v="1530.46"/>
    <x v="0"/>
    <x v="3"/>
    <n v="2023"/>
    <n v="-1530.46"/>
  </r>
  <r>
    <d v="2023-04-20T00:00:00"/>
    <s v="Simply century the."/>
    <x v="4"/>
    <n v="716.06"/>
    <x v="0"/>
    <x v="3"/>
    <n v="2023"/>
    <n v="-716.06"/>
  </r>
  <r>
    <d v="2023-04-20T00:00:00"/>
    <s v="Day already hold."/>
    <x v="1"/>
    <n v="360.44"/>
    <x v="0"/>
    <x v="3"/>
    <n v="2023"/>
    <n v="-360.44"/>
  </r>
  <r>
    <d v="2023-04-21T00:00:00"/>
    <s v="About usually."/>
    <x v="7"/>
    <n v="1828.82"/>
    <x v="0"/>
    <x v="3"/>
    <n v="2023"/>
    <n v="-1828.82"/>
  </r>
  <r>
    <d v="2023-04-22T00:00:00"/>
    <s v="Level animal minute probably."/>
    <x v="5"/>
    <n v="1664"/>
    <x v="1"/>
    <x v="3"/>
    <n v="2023"/>
    <n v="1664"/>
  </r>
  <r>
    <d v="2023-04-22T00:00:00"/>
    <s v="Officer fine."/>
    <x v="6"/>
    <n v="1675.03"/>
    <x v="0"/>
    <x v="3"/>
    <n v="2023"/>
    <n v="-1675.03"/>
  </r>
  <r>
    <d v="2023-04-23T00:00:00"/>
    <s v="Customer expert mother significant."/>
    <x v="8"/>
    <n v="1088.83"/>
    <x v="0"/>
    <x v="3"/>
    <n v="2023"/>
    <n v="-1088.83"/>
  </r>
  <r>
    <d v="2023-04-24T00:00:00"/>
    <s v="Chance event address."/>
    <x v="3"/>
    <n v="1239"/>
    <x v="1"/>
    <x v="3"/>
    <n v="2023"/>
    <n v="1239"/>
  </r>
  <r>
    <d v="2023-04-25T00:00:00"/>
    <s v="Bill my near even wall."/>
    <x v="3"/>
    <n v="663"/>
    <x v="1"/>
    <x v="3"/>
    <n v="2023"/>
    <n v="663"/>
  </r>
  <r>
    <d v="2023-05-02T00:00:00"/>
    <s v="Each author party full kitchen."/>
    <x v="0"/>
    <n v="670.15"/>
    <x v="0"/>
    <x v="4"/>
    <n v="2023"/>
    <n v="-670.15"/>
  </r>
  <r>
    <d v="2023-05-02T00:00:00"/>
    <s v="Likely push."/>
    <x v="1"/>
    <n v="688.11"/>
    <x v="0"/>
    <x v="4"/>
    <n v="2023"/>
    <n v="-688.11"/>
  </r>
  <r>
    <d v="2023-05-03T00:00:00"/>
    <s v="Approach interview condition other."/>
    <x v="5"/>
    <n v="987"/>
    <x v="1"/>
    <x v="4"/>
    <n v="2023"/>
    <n v="987"/>
  </r>
  <r>
    <d v="2023-05-05T00:00:00"/>
    <s v="Green forward cup serve speak."/>
    <x v="3"/>
    <n v="1408"/>
    <x v="1"/>
    <x v="4"/>
    <n v="2023"/>
    <n v="1408"/>
  </r>
  <r>
    <d v="2023-05-05T00:00:00"/>
    <s v="Nothing behavior sort recognize."/>
    <x v="7"/>
    <n v="1921.51"/>
    <x v="0"/>
    <x v="4"/>
    <n v="2023"/>
    <n v="-1921.51"/>
  </r>
  <r>
    <d v="2023-05-05T00:00:00"/>
    <s v="Financial popular short like."/>
    <x v="4"/>
    <n v="1176.17"/>
    <x v="0"/>
    <x v="4"/>
    <n v="2023"/>
    <n v="-1176.17"/>
  </r>
  <r>
    <d v="2023-05-07T00:00:00"/>
    <s v="Technology pay tree."/>
    <x v="7"/>
    <n v="281.54000000000002"/>
    <x v="0"/>
    <x v="4"/>
    <n v="2023"/>
    <n v="-281.54000000000002"/>
  </r>
  <r>
    <d v="2023-05-12T00:00:00"/>
    <s v="Record professor small."/>
    <x v="5"/>
    <n v="4491"/>
    <x v="1"/>
    <x v="4"/>
    <n v="2023"/>
    <n v="4491"/>
  </r>
  <r>
    <d v="2023-05-14T00:00:00"/>
    <s v="Maintain assume both long."/>
    <x v="1"/>
    <n v="1417.29"/>
    <x v="0"/>
    <x v="4"/>
    <n v="2023"/>
    <n v="-1417.29"/>
  </r>
  <r>
    <d v="2023-05-14T00:00:00"/>
    <s v="Should page camera."/>
    <x v="7"/>
    <n v="454.24"/>
    <x v="0"/>
    <x v="4"/>
    <n v="2023"/>
    <n v="-454.24"/>
  </r>
  <r>
    <d v="2023-05-14T00:00:00"/>
    <s v="Stage someone for power."/>
    <x v="1"/>
    <n v="762.98"/>
    <x v="0"/>
    <x v="4"/>
    <n v="2023"/>
    <n v="-762.98"/>
  </r>
  <r>
    <d v="2023-05-15T00:00:00"/>
    <s v="Leave opportunity draw during city."/>
    <x v="9"/>
    <n v="263.42"/>
    <x v="0"/>
    <x v="4"/>
    <n v="2023"/>
    <n v="-263.42"/>
  </r>
  <r>
    <d v="2023-05-15T00:00:00"/>
    <s v="At decade really issue."/>
    <x v="4"/>
    <n v="1703.01"/>
    <x v="0"/>
    <x v="4"/>
    <n v="2023"/>
    <n v="-1703.01"/>
  </r>
  <r>
    <d v="2023-05-16T00:00:00"/>
    <s v="Skin name door production back."/>
    <x v="0"/>
    <n v="372.34"/>
    <x v="0"/>
    <x v="4"/>
    <n v="2023"/>
    <n v="-372.34"/>
  </r>
  <r>
    <d v="2023-05-17T00:00:00"/>
    <s v="Boy other foot best."/>
    <x v="6"/>
    <n v="1282.9000000000001"/>
    <x v="0"/>
    <x v="4"/>
    <n v="2023"/>
    <n v="-1282.9000000000001"/>
  </r>
  <r>
    <d v="2023-05-18T00:00:00"/>
    <s v="Final image our."/>
    <x v="5"/>
    <n v="1652"/>
    <x v="1"/>
    <x v="4"/>
    <n v="2023"/>
    <n v="1652"/>
  </r>
  <r>
    <d v="2023-05-19T00:00:00"/>
    <s v="Management produce bed stage."/>
    <x v="2"/>
    <n v="483.61"/>
    <x v="0"/>
    <x v="4"/>
    <n v="2023"/>
    <n v="-483.61"/>
  </r>
  <r>
    <d v="2023-05-20T00:00:00"/>
    <s v="Serious produce."/>
    <x v="1"/>
    <n v="1276.01"/>
    <x v="0"/>
    <x v="4"/>
    <n v="2023"/>
    <n v="-1276.01"/>
  </r>
  <r>
    <d v="2023-05-20T00:00:00"/>
    <s v="Factor past language day theory."/>
    <x v="7"/>
    <n v="898.79"/>
    <x v="0"/>
    <x v="4"/>
    <n v="2023"/>
    <n v="-898.79"/>
  </r>
  <r>
    <d v="2023-05-20T00:00:00"/>
    <s v="Some quickly truth view response."/>
    <x v="6"/>
    <n v="1389.42"/>
    <x v="0"/>
    <x v="4"/>
    <n v="2023"/>
    <n v="-1389.42"/>
  </r>
  <r>
    <d v="2023-05-22T00:00:00"/>
    <s v="Old particularly."/>
    <x v="2"/>
    <n v="1443.62"/>
    <x v="0"/>
    <x v="4"/>
    <n v="2023"/>
    <n v="-1443.62"/>
  </r>
  <r>
    <d v="2023-05-22T00:00:00"/>
    <s v="Summer system artist too."/>
    <x v="5"/>
    <n v="3937"/>
    <x v="1"/>
    <x v="4"/>
    <n v="2023"/>
    <n v="3937"/>
  </r>
  <r>
    <d v="2023-05-22T00:00:00"/>
    <s v="Reflect star."/>
    <x v="4"/>
    <n v="991.23"/>
    <x v="0"/>
    <x v="4"/>
    <n v="2023"/>
    <n v="-991.23"/>
  </r>
  <r>
    <d v="2023-05-25T00:00:00"/>
    <s v="Technology tend."/>
    <x v="4"/>
    <n v="211.84"/>
    <x v="0"/>
    <x v="4"/>
    <n v="2023"/>
    <n v="-211.84"/>
  </r>
  <r>
    <d v="2023-05-28T00:00:00"/>
    <s v="Reduce hour fish him."/>
    <x v="6"/>
    <n v="333.69"/>
    <x v="0"/>
    <x v="4"/>
    <n v="2023"/>
    <n v="-333.69"/>
  </r>
  <r>
    <d v="2023-05-29T00:00:00"/>
    <s v="Nation production little could."/>
    <x v="3"/>
    <n v="2915"/>
    <x v="1"/>
    <x v="4"/>
    <n v="2023"/>
    <n v="2915"/>
  </r>
  <r>
    <d v="2023-05-29T00:00:00"/>
    <s v="Style child young prove."/>
    <x v="5"/>
    <n v="1357"/>
    <x v="1"/>
    <x v="4"/>
    <n v="2023"/>
    <n v="1357"/>
  </r>
  <r>
    <d v="2023-05-30T00:00:00"/>
    <s v="Author administration."/>
    <x v="3"/>
    <n v="3575"/>
    <x v="1"/>
    <x v="4"/>
    <n v="2023"/>
    <n v="3575"/>
  </r>
  <r>
    <d v="2023-06-02T00:00:00"/>
    <s v="Window career case south."/>
    <x v="3"/>
    <n v="4981"/>
    <x v="1"/>
    <x v="5"/>
    <n v="2023"/>
    <n v="4981"/>
  </r>
  <r>
    <d v="2023-06-03T00:00:00"/>
    <s v="Us perhaps lawyer interest star."/>
    <x v="2"/>
    <n v="682.52"/>
    <x v="0"/>
    <x v="5"/>
    <n v="2023"/>
    <n v="-682.52"/>
  </r>
  <r>
    <d v="2023-06-04T00:00:00"/>
    <s v="Difficult interesting account marriage."/>
    <x v="8"/>
    <n v="1411.96"/>
    <x v="0"/>
    <x v="5"/>
    <n v="2023"/>
    <n v="-1411.96"/>
  </r>
  <r>
    <d v="2023-06-05T00:00:00"/>
    <s v="Especially unit office almost."/>
    <x v="1"/>
    <n v="1218.56"/>
    <x v="0"/>
    <x v="5"/>
    <n v="2023"/>
    <n v="-1218.56"/>
  </r>
  <r>
    <d v="2023-06-08T00:00:00"/>
    <s v="Low happy oil which bag."/>
    <x v="0"/>
    <n v="211.5"/>
    <x v="0"/>
    <x v="5"/>
    <n v="2023"/>
    <n v="-211.5"/>
  </r>
  <r>
    <d v="2023-06-08T00:00:00"/>
    <s v="Let back three."/>
    <x v="6"/>
    <n v="824.47"/>
    <x v="0"/>
    <x v="5"/>
    <n v="2023"/>
    <n v="-824.47"/>
  </r>
  <r>
    <d v="2023-06-09T00:00:00"/>
    <s v="Line score whether."/>
    <x v="9"/>
    <n v="1324.59"/>
    <x v="0"/>
    <x v="5"/>
    <n v="2023"/>
    <n v="-1324.59"/>
  </r>
  <r>
    <d v="2023-06-09T00:00:00"/>
    <s v="Something fine apply gas sing."/>
    <x v="2"/>
    <n v="108.77"/>
    <x v="0"/>
    <x v="5"/>
    <n v="2023"/>
    <n v="-108.77"/>
  </r>
  <r>
    <d v="2023-06-10T00:00:00"/>
    <s v="Mention light safe inside."/>
    <x v="8"/>
    <n v="315.64"/>
    <x v="0"/>
    <x v="5"/>
    <n v="2023"/>
    <n v="-315.64"/>
  </r>
  <r>
    <d v="2023-06-10T00:00:00"/>
    <s v="Cold reason our."/>
    <x v="4"/>
    <n v="184.38"/>
    <x v="0"/>
    <x v="5"/>
    <n v="2023"/>
    <n v="-184.38"/>
  </r>
  <r>
    <d v="2023-06-13T00:00:00"/>
    <s v="Employee picture official of prevent."/>
    <x v="8"/>
    <n v="407.35"/>
    <x v="0"/>
    <x v="5"/>
    <n v="2023"/>
    <n v="-407.35"/>
  </r>
  <r>
    <d v="2023-06-15T00:00:00"/>
    <s v="Agree machine camera baby six."/>
    <x v="3"/>
    <n v="2890"/>
    <x v="1"/>
    <x v="5"/>
    <n v="2023"/>
    <n v="2890"/>
  </r>
  <r>
    <d v="2023-06-16T00:00:00"/>
    <s v="Past every either."/>
    <x v="8"/>
    <n v="1689.1"/>
    <x v="0"/>
    <x v="5"/>
    <n v="2023"/>
    <n v="-1689.1"/>
  </r>
  <r>
    <d v="2023-06-16T00:00:00"/>
    <s v="Company option character land space."/>
    <x v="4"/>
    <n v="947.18"/>
    <x v="0"/>
    <x v="5"/>
    <n v="2023"/>
    <n v="-947.18"/>
  </r>
  <r>
    <d v="2023-06-17T00:00:00"/>
    <s v="Machine son television."/>
    <x v="9"/>
    <n v="191.36"/>
    <x v="0"/>
    <x v="5"/>
    <n v="2023"/>
    <n v="-191.36"/>
  </r>
  <r>
    <d v="2023-06-17T00:00:00"/>
    <s v="Whose other."/>
    <x v="1"/>
    <n v="748.33"/>
    <x v="0"/>
    <x v="5"/>
    <n v="2023"/>
    <n v="-748.33"/>
  </r>
  <r>
    <d v="2023-06-19T00:00:00"/>
    <s v="Sell include himself produce."/>
    <x v="1"/>
    <n v="897.09"/>
    <x v="0"/>
    <x v="5"/>
    <n v="2023"/>
    <n v="-897.09"/>
  </r>
  <r>
    <d v="2023-06-21T00:00:00"/>
    <s v="Official success approach."/>
    <x v="8"/>
    <n v="534.16999999999996"/>
    <x v="0"/>
    <x v="5"/>
    <n v="2023"/>
    <n v="-534.16999999999996"/>
  </r>
  <r>
    <d v="2023-06-22T00:00:00"/>
    <s v="Apply less."/>
    <x v="0"/>
    <n v="310.75"/>
    <x v="0"/>
    <x v="5"/>
    <n v="2023"/>
    <n v="-310.75"/>
  </r>
  <r>
    <d v="2023-06-22T00:00:00"/>
    <s v="Live way two."/>
    <x v="2"/>
    <n v="180.56"/>
    <x v="0"/>
    <x v="5"/>
    <n v="2023"/>
    <n v="-180.56"/>
  </r>
  <r>
    <d v="2023-06-23T00:00:00"/>
    <s v="Raise hope enjoy most."/>
    <x v="4"/>
    <n v="1941.7"/>
    <x v="0"/>
    <x v="5"/>
    <n v="2023"/>
    <n v="-1941.7"/>
  </r>
  <r>
    <d v="2023-06-25T00:00:00"/>
    <s v="Eye something."/>
    <x v="0"/>
    <n v="1683.19"/>
    <x v="0"/>
    <x v="5"/>
    <n v="2023"/>
    <n v="-1683.19"/>
  </r>
  <r>
    <d v="2023-06-25T00:00:00"/>
    <s v="Which raise american truth."/>
    <x v="4"/>
    <n v="1931.6"/>
    <x v="0"/>
    <x v="5"/>
    <n v="2023"/>
    <n v="-1931.6"/>
  </r>
  <r>
    <d v="2023-06-25T00:00:00"/>
    <s v="Particular present evening establish."/>
    <x v="8"/>
    <n v="1149.7"/>
    <x v="0"/>
    <x v="5"/>
    <n v="2023"/>
    <n v="-1149.7"/>
  </r>
  <r>
    <d v="2023-06-26T00:00:00"/>
    <s v="Pressure hospital significant."/>
    <x v="9"/>
    <n v="167.12"/>
    <x v="0"/>
    <x v="5"/>
    <n v="2023"/>
    <n v="-167.12"/>
  </r>
  <r>
    <d v="2023-06-30T00:00:00"/>
    <s v="Side mind question year finish."/>
    <x v="0"/>
    <n v="1009.18"/>
    <x v="0"/>
    <x v="5"/>
    <n v="2023"/>
    <n v="-1009.18"/>
  </r>
  <r>
    <d v="2023-07-01T00:00:00"/>
    <s v="Story activity."/>
    <x v="1"/>
    <n v="249.36"/>
    <x v="0"/>
    <x v="6"/>
    <n v="2023"/>
    <n v="-249.36"/>
  </r>
  <r>
    <d v="2023-07-02T00:00:00"/>
    <s v="Billion land detail exist cover."/>
    <x v="1"/>
    <n v="1898.63"/>
    <x v="0"/>
    <x v="6"/>
    <n v="2023"/>
    <n v="-1898.63"/>
  </r>
  <r>
    <d v="2023-07-05T00:00:00"/>
    <s v="Begin voice prevent structure wear."/>
    <x v="3"/>
    <n v="2078"/>
    <x v="1"/>
    <x v="6"/>
    <n v="2023"/>
    <n v="2078"/>
  </r>
  <r>
    <d v="2023-07-05T00:00:00"/>
    <s v="Beat painting heavy."/>
    <x v="5"/>
    <n v="1141"/>
    <x v="1"/>
    <x v="6"/>
    <n v="2023"/>
    <n v="1141"/>
  </r>
  <r>
    <d v="2023-07-06T00:00:00"/>
    <s v="To receive education."/>
    <x v="4"/>
    <n v="411.82"/>
    <x v="0"/>
    <x v="6"/>
    <n v="2023"/>
    <n v="-411.82"/>
  </r>
  <r>
    <d v="2023-07-07T00:00:00"/>
    <s v="Police two."/>
    <x v="1"/>
    <n v="1669.88"/>
    <x v="0"/>
    <x v="6"/>
    <n v="2023"/>
    <n v="-1669.88"/>
  </r>
  <r>
    <d v="2023-07-07T00:00:00"/>
    <s v="Realize property show either."/>
    <x v="2"/>
    <n v="183.18"/>
    <x v="0"/>
    <x v="6"/>
    <n v="2023"/>
    <n v="-183.18"/>
  </r>
  <r>
    <d v="2023-07-10T00:00:00"/>
    <s v="Since him four."/>
    <x v="7"/>
    <n v="1714.68"/>
    <x v="0"/>
    <x v="6"/>
    <n v="2023"/>
    <n v="-1714.68"/>
  </r>
  <r>
    <d v="2023-07-10T00:00:00"/>
    <s v="Western enough key."/>
    <x v="0"/>
    <n v="1575.24"/>
    <x v="0"/>
    <x v="6"/>
    <n v="2023"/>
    <n v="-1575.24"/>
  </r>
  <r>
    <d v="2023-07-10T00:00:00"/>
    <s v="Particular condition man."/>
    <x v="4"/>
    <n v="233.91"/>
    <x v="0"/>
    <x v="6"/>
    <n v="2023"/>
    <n v="-233.91"/>
  </r>
  <r>
    <d v="2023-07-10T00:00:00"/>
    <s v="Shoulder despite poor tree resource."/>
    <x v="3"/>
    <n v="1365"/>
    <x v="1"/>
    <x v="6"/>
    <n v="2023"/>
    <n v="1365"/>
  </r>
  <r>
    <d v="2023-07-11T00:00:00"/>
    <s v="Authority number."/>
    <x v="2"/>
    <n v="1573.63"/>
    <x v="0"/>
    <x v="6"/>
    <n v="2023"/>
    <n v="-1573.63"/>
  </r>
  <r>
    <d v="2023-07-13T00:00:00"/>
    <s v="Affect marriage present a."/>
    <x v="7"/>
    <n v="1757.01"/>
    <x v="0"/>
    <x v="6"/>
    <n v="2023"/>
    <n v="-1757.01"/>
  </r>
  <r>
    <d v="2023-07-15T00:00:00"/>
    <s v="Entire record toward off."/>
    <x v="8"/>
    <n v="1148.33"/>
    <x v="0"/>
    <x v="6"/>
    <n v="2023"/>
    <n v="-1148.33"/>
  </r>
  <r>
    <d v="2023-07-15T00:00:00"/>
    <s v="Long identify road speech."/>
    <x v="1"/>
    <n v="558.07000000000005"/>
    <x v="0"/>
    <x v="6"/>
    <n v="2023"/>
    <n v="-558.07000000000005"/>
  </r>
  <r>
    <d v="2023-07-15T00:00:00"/>
    <s v="Difficult his ready sister building."/>
    <x v="5"/>
    <n v="817"/>
    <x v="1"/>
    <x v="6"/>
    <n v="2023"/>
    <n v="817"/>
  </r>
  <r>
    <d v="2023-07-15T00:00:00"/>
    <s v="Four field area young."/>
    <x v="7"/>
    <n v="1384.12"/>
    <x v="0"/>
    <x v="6"/>
    <n v="2023"/>
    <n v="-1384.12"/>
  </r>
  <r>
    <d v="2023-07-15T00:00:00"/>
    <s v="Movement which ball least."/>
    <x v="5"/>
    <n v="2700"/>
    <x v="1"/>
    <x v="6"/>
    <n v="2023"/>
    <n v="2700"/>
  </r>
  <r>
    <d v="2023-07-16T00:00:00"/>
    <s v="Computer always his."/>
    <x v="0"/>
    <n v="682.35"/>
    <x v="0"/>
    <x v="6"/>
    <n v="2023"/>
    <n v="-682.35"/>
  </r>
  <r>
    <d v="2023-07-17T00:00:00"/>
    <s v="Receive to piece."/>
    <x v="9"/>
    <n v="567.89"/>
    <x v="0"/>
    <x v="6"/>
    <n v="2023"/>
    <n v="-567.89"/>
  </r>
  <r>
    <d v="2023-07-18T00:00:00"/>
    <s v="Be plan same cause."/>
    <x v="2"/>
    <n v="1945.27"/>
    <x v="0"/>
    <x v="6"/>
    <n v="2023"/>
    <n v="-1945.27"/>
  </r>
  <r>
    <d v="2023-07-19T00:00:00"/>
    <s v="Rest or."/>
    <x v="9"/>
    <n v="1948.7"/>
    <x v="0"/>
    <x v="6"/>
    <n v="2023"/>
    <n v="-1948.7"/>
  </r>
  <r>
    <d v="2023-07-19T00:00:00"/>
    <s v="As music film move."/>
    <x v="7"/>
    <n v="546.15"/>
    <x v="0"/>
    <x v="6"/>
    <n v="2023"/>
    <n v="-546.15"/>
  </r>
  <r>
    <d v="2023-07-20T00:00:00"/>
    <s v="Already argue."/>
    <x v="2"/>
    <n v="383.99"/>
    <x v="0"/>
    <x v="6"/>
    <n v="2023"/>
    <n v="-383.99"/>
  </r>
  <r>
    <d v="2023-07-21T00:00:00"/>
    <s v="Brother southern project learn."/>
    <x v="4"/>
    <n v="1484.48"/>
    <x v="0"/>
    <x v="6"/>
    <n v="2023"/>
    <n v="-1484.48"/>
  </r>
  <r>
    <d v="2023-07-23T00:00:00"/>
    <s v="Scientist do author."/>
    <x v="7"/>
    <n v="1643.82"/>
    <x v="0"/>
    <x v="6"/>
    <n v="2023"/>
    <n v="-1643.82"/>
  </r>
  <r>
    <d v="2023-07-25T00:00:00"/>
    <s v="President likely truth animal."/>
    <x v="1"/>
    <n v="140.58000000000001"/>
    <x v="0"/>
    <x v="6"/>
    <n v="2023"/>
    <n v="-140.58000000000001"/>
  </r>
  <r>
    <d v="2023-07-26T00:00:00"/>
    <s v="Common anyone."/>
    <x v="4"/>
    <n v="279.94"/>
    <x v="0"/>
    <x v="6"/>
    <n v="2023"/>
    <n v="-279.94"/>
  </r>
  <r>
    <d v="2023-07-27T00:00:00"/>
    <s v="Lay color."/>
    <x v="0"/>
    <n v="355.74"/>
    <x v="0"/>
    <x v="6"/>
    <n v="2023"/>
    <n v="-355.74"/>
  </r>
  <r>
    <d v="2023-07-27T00:00:00"/>
    <s v="Box organization."/>
    <x v="6"/>
    <n v="1675.58"/>
    <x v="0"/>
    <x v="6"/>
    <n v="2023"/>
    <n v="-1675.58"/>
  </r>
  <r>
    <d v="2023-07-30T00:00:00"/>
    <s v="Source international."/>
    <x v="8"/>
    <n v="110.61"/>
    <x v="0"/>
    <x v="6"/>
    <n v="2023"/>
    <n v="-110.61"/>
  </r>
  <r>
    <d v="2023-08-01T00:00:00"/>
    <s v="Building range national focus."/>
    <x v="6"/>
    <n v="555.22"/>
    <x v="0"/>
    <x v="7"/>
    <n v="2023"/>
    <n v="-555.22"/>
  </r>
  <r>
    <d v="2023-08-04T00:00:00"/>
    <s v="Or friend."/>
    <x v="4"/>
    <n v="1274.47"/>
    <x v="0"/>
    <x v="7"/>
    <n v="2023"/>
    <n v="-1274.47"/>
  </r>
  <r>
    <d v="2023-08-05T00:00:00"/>
    <s v="Center indeed recent."/>
    <x v="3"/>
    <n v="2481"/>
    <x v="1"/>
    <x v="7"/>
    <n v="2023"/>
    <n v="2481"/>
  </r>
  <r>
    <d v="2023-08-07T00:00:00"/>
    <s v="Just understand american."/>
    <x v="8"/>
    <n v="363.39"/>
    <x v="0"/>
    <x v="7"/>
    <n v="2023"/>
    <n v="-363.39"/>
  </r>
  <r>
    <d v="2023-08-07T00:00:00"/>
    <s v="Partner sing administration main according."/>
    <x v="7"/>
    <n v="695.06"/>
    <x v="0"/>
    <x v="7"/>
    <n v="2023"/>
    <n v="-695.06"/>
  </r>
  <r>
    <d v="2023-08-09T00:00:00"/>
    <s v="Religious order."/>
    <x v="9"/>
    <n v="1500.43"/>
    <x v="0"/>
    <x v="7"/>
    <n v="2023"/>
    <n v="-1500.43"/>
  </r>
  <r>
    <d v="2023-08-09T00:00:00"/>
    <s v="Really society live camera."/>
    <x v="9"/>
    <n v="64.63"/>
    <x v="0"/>
    <x v="7"/>
    <n v="2023"/>
    <n v="-64.63"/>
  </r>
  <r>
    <d v="2023-08-10T00:00:00"/>
    <s v="Mission include visit."/>
    <x v="3"/>
    <n v="2313"/>
    <x v="1"/>
    <x v="7"/>
    <n v="2023"/>
    <n v="2313"/>
  </r>
  <r>
    <d v="2023-08-10T00:00:00"/>
    <s v="Conference matter wear physical site."/>
    <x v="6"/>
    <n v="545.48"/>
    <x v="0"/>
    <x v="7"/>
    <n v="2023"/>
    <n v="-545.48"/>
  </r>
  <r>
    <d v="2023-08-11T00:00:00"/>
    <s v="Above dog brother morning."/>
    <x v="0"/>
    <n v="1730.61"/>
    <x v="0"/>
    <x v="7"/>
    <n v="2023"/>
    <n v="-1730.61"/>
  </r>
  <r>
    <d v="2023-08-16T00:00:00"/>
    <s v="Gun seven music despite show."/>
    <x v="0"/>
    <n v="953.45"/>
    <x v="0"/>
    <x v="7"/>
    <n v="2023"/>
    <n v="-953.45"/>
  </r>
  <r>
    <d v="2023-08-17T00:00:00"/>
    <s v="Apply both chance."/>
    <x v="3"/>
    <n v="569"/>
    <x v="1"/>
    <x v="7"/>
    <n v="2023"/>
    <n v="569"/>
  </r>
  <r>
    <d v="2023-08-17T00:00:00"/>
    <s v="Computer prove amount population."/>
    <x v="9"/>
    <n v="1428.35"/>
    <x v="0"/>
    <x v="7"/>
    <n v="2023"/>
    <n v="-1428.35"/>
  </r>
  <r>
    <d v="2023-08-21T00:00:00"/>
    <s v="Itself free source."/>
    <x v="9"/>
    <n v="853.38"/>
    <x v="0"/>
    <x v="7"/>
    <n v="2023"/>
    <n v="-853.38"/>
  </r>
  <r>
    <d v="2023-08-22T00:00:00"/>
    <s v="Bit appear."/>
    <x v="7"/>
    <n v="923.41"/>
    <x v="0"/>
    <x v="7"/>
    <n v="2023"/>
    <n v="-923.41"/>
  </r>
  <r>
    <d v="2023-08-23T00:00:00"/>
    <s v="Citizen ahead method."/>
    <x v="9"/>
    <n v="1357.62"/>
    <x v="0"/>
    <x v="7"/>
    <n v="2023"/>
    <n v="-1357.62"/>
  </r>
  <r>
    <d v="2023-08-25T00:00:00"/>
    <s v="Return or for."/>
    <x v="4"/>
    <n v="1173.1300000000001"/>
    <x v="0"/>
    <x v="7"/>
    <n v="2023"/>
    <n v="-1173.1300000000001"/>
  </r>
  <r>
    <d v="2023-08-27T00:00:00"/>
    <s v="Discover body direction down."/>
    <x v="5"/>
    <n v="2815"/>
    <x v="1"/>
    <x v="7"/>
    <n v="2023"/>
    <n v="2815"/>
  </r>
  <r>
    <d v="2023-08-30T00:00:00"/>
    <s v="Heart determine likely."/>
    <x v="2"/>
    <n v="968.66"/>
    <x v="0"/>
    <x v="7"/>
    <n v="2023"/>
    <n v="-968.66"/>
  </r>
  <r>
    <d v="2023-08-30T00:00:00"/>
    <s v="Three certain."/>
    <x v="9"/>
    <n v="1284.78"/>
    <x v="0"/>
    <x v="7"/>
    <n v="2023"/>
    <n v="-1284.78"/>
  </r>
  <r>
    <d v="2023-08-30T00:00:00"/>
    <s v="Hold carry rest."/>
    <x v="9"/>
    <n v="1315.68"/>
    <x v="0"/>
    <x v="7"/>
    <n v="2023"/>
    <n v="-1315.68"/>
  </r>
  <r>
    <d v="2023-08-30T00:00:00"/>
    <s v="Dark camera realize."/>
    <x v="9"/>
    <n v="384.84"/>
    <x v="0"/>
    <x v="7"/>
    <n v="2023"/>
    <n v="-384.84"/>
  </r>
  <r>
    <d v="2023-09-01T00:00:00"/>
    <s v="Carry surface learn."/>
    <x v="6"/>
    <n v="1800.38"/>
    <x v="0"/>
    <x v="8"/>
    <n v="2023"/>
    <n v="-1800.38"/>
  </r>
  <r>
    <d v="2023-09-01T00:00:00"/>
    <s v="Detail far church some."/>
    <x v="4"/>
    <n v="1324.46"/>
    <x v="0"/>
    <x v="8"/>
    <n v="2023"/>
    <n v="-1324.46"/>
  </r>
  <r>
    <d v="2023-09-03T00:00:00"/>
    <s v="Wife talk beat tax majority."/>
    <x v="0"/>
    <n v="1314.25"/>
    <x v="0"/>
    <x v="8"/>
    <n v="2023"/>
    <n v="-1314.25"/>
  </r>
  <r>
    <d v="2023-09-04T00:00:00"/>
    <s v="List leg address into their."/>
    <x v="9"/>
    <n v="1814.75"/>
    <x v="0"/>
    <x v="8"/>
    <n v="2023"/>
    <n v="-1814.75"/>
  </r>
  <r>
    <d v="2023-09-04T00:00:00"/>
    <s v="Its develop until watch."/>
    <x v="0"/>
    <n v="1170.22"/>
    <x v="0"/>
    <x v="8"/>
    <n v="2023"/>
    <n v="-1170.22"/>
  </r>
  <r>
    <d v="2023-09-04T00:00:00"/>
    <s v="Individual analysis."/>
    <x v="6"/>
    <n v="692.9"/>
    <x v="0"/>
    <x v="8"/>
    <n v="2023"/>
    <n v="-692.9"/>
  </r>
  <r>
    <d v="2023-09-07T00:00:00"/>
    <s v="Almost most look something."/>
    <x v="8"/>
    <n v="1813.99"/>
    <x v="0"/>
    <x v="8"/>
    <n v="2023"/>
    <n v="-1813.99"/>
  </r>
  <r>
    <d v="2023-09-10T00:00:00"/>
    <s v="Manager bar send really."/>
    <x v="9"/>
    <n v="1692.38"/>
    <x v="0"/>
    <x v="8"/>
    <n v="2023"/>
    <n v="-1692.38"/>
  </r>
  <r>
    <d v="2023-09-11T00:00:00"/>
    <s v="Car fast positive."/>
    <x v="1"/>
    <n v="594.63"/>
    <x v="0"/>
    <x v="8"/>
    <n v="2023"/>
    <n v="-594.63"/>
  </r>
  <r>
    <d v="2023-09-11T00:00:00"/>
    <s v="Look fight."/>
    <x v="9"/>
    <n v="1453.12"/>
    <x v="0"/>
    <x v="8"/>
    <n v="2023"/>
    <n v="-1453.12"/>
  </r>
  <r>
    <d v="2023-09-12T00:00:00"/>
    <s v="Section agency lawyer sign them."/>
    <x v="1"/>
    <n v="1894.38"/>
    <x v="0"/>
    <x v="8"/>
    <n v="2023"/>
    <n v="-1894.38"/>
  </r>
  <r>
    <d v="2023-09-12T00:00:00"/>
    <s v="Smile have less."/>
    <x v="2"/>
    <n v="452.28"/>
    <x v="0"/>
    <x v="8"/>
    <n v="2023"/>
    <n v="-452.28"/>
  </r>
  <r>
    <d v="2023-09-13T00:00:00"/>
    <s v="Audience throw four allow international."/>
    <x v="9"/>
    <n v="846.74"/>
    <x v="0"/>
    <x v="8"/>
    <n v="2023"/>
    <n v="-846.74"/>
  </r>
  <r>
    <d v="2023-09-14T00:00:00"/>
    <s v="My some skin ball thing."/>
    <x v="7"/>
    <n v="528.51"/>
    <x v="0"/>
    <x v="8"/>
    <n v="2023"/>
    <n v="-528.51"/>
  </r>
  <r>
    <d v="2023-09-14T00:00:00"/>
    <s v="War push thousand book half."/>
    <x v="2"/>
    <n v="946.37"/>
    <x v="0"/>
    <x v="8"/>
    <n v="2023"/>
    <n v="-946.37"/>
  </r>
  <r>
    <d v="2023-09-14T00:00:00"/>
    <s v="Hand possible relate night."/>
    <x v="2"/>
    <n v="949.72"/>
    <x v="0"/>
    <x v="8"/>
    <n v="2023"/>
    <n v="-949.72"/>
  </r>
  <r>
    <d v="2023-09-15T00:00:00"/>
    <s v="Wonder draw box."/>
    <x v="3"/>
    <n v="3626"/>
    <x v="1"/>
    <x v="8"/>
    <n v="2023"/>
    <n v="3626"/>
  </r>
  <r>
    <d v="2023-09-15T00:00:00"/>
    <s v="That reflect send set fly."/>
    <x v="4"/>
    <n v="117.58"/>
    <x v="0"/>
    <x v="8"/>
    <n v="2023"/>
    <n v="-117.58"/>
  </r>
  <r>
    <d v="2023-09-16T00:00:00"/>
    <s v="Quite everyone as generation."/>
    <x v="1"/>
    <n v="1984.77"/>
    <x v="0"/>
    <x v="8"/>
    <n v="2023"/>
    <n v="-1984.77"/>
  </r>
  <r>
    <d v="2023-09-16T00:00:00"/>
    <s v="Money but report question."/>
    <x v="8"/>
    <n v="295.02"/>
    <x v="0"/>
    <x v="8"/>
    <n v="2023"/>
    <n v="-295.02"/>
  </r>
  <r>
    <d v="2023-09-21T00:00:00"/>
    <s v="Later happy pull."/>
    <x v="1"/>
    <n v="1560.09"/>
    <x v="0"/>
    <x v="8"/>
    <n v="2023"/>
    <n v="-1560.09"/>
  </r>
  <r>
    <d v="2023-09-21T00:00:00"/>
    <s v="Throughout leader bag."/>
    <x v="1"/>
    <n v="633.69000000000005"/>
    <x v="0"/>
    <x v="8"/>
    <n v="2023"/>
    <n v="-633.69000000000005"/>
  </r>
  <r>
    <d v="2023-09-23T00:00:00"/>
    <s v="When baby clearly."/>
    <x v="5"/>
    <n v="2740"/>
    <x v="1"/>
    <x v="8"/>
    <n v="2023"/>
    <n v="2740"/>
  </r>
  <r>
    <d v="2023-09-24T00:00:00"/>
    <s v="Many themselves minute."/>
    <x v="1"/>
    <n v="1156.8"/>
    <x v="0"/>
    <x v="8"/>
    <n v="2023"/>
    <n v="-1156.8"/>
  </r>
  <r>
    <d v="2023-09-28T00:00:00"/>
    <s v="Indicate radio use."/>
    <x v="3"/>
    <n v="1560"/>
    <x v="1"/>
    <x v="8"/>
    <n v="2023"/>
    <n v="1560"/>
  </r>
  <r>
    <d v="2023-09-29T00:00:00"/>
    <s v="Information scene again country."/>
    <x v="4"/>
    <n v="812.75"/>
    <x v="0"/>
    <x v="8"/>
    <n v="2023"/>
    <n v="-812.75"/>
  </r>
  <r>
    <d v="2023-10-03T00:00:00"/>
    <s v="Strong mind from."/>
    <x v="4"/>
    <n v="19.29"/>
    <x v="0"/>
    <x v="9"/>
    <n v="2023"/>
    <n v="-19.29"/>
  </r>
  <r>
    <d v="2023-10-04T00:00:00"/>
    <s v="Pretty skin main program."/>
    <x v="7"/>
    <n v="1900.64"/>
    <x v="0"/>
    <x v="9"/>
    <n v="2023"/>
    <n v="-1900.64"/>
  </r>
  <r>
    <d v="2023-10-04T00:00:00"/>
    <s v="Knowledge fight car smile commercial."/>
    <x v="6"/>
    <n v="45.65"/>
    <x v="0"/>
    <x v="9"/>
    <n v="2023"/>
    <n v="-45.65"/>
  </r>
  <r>
    <d v="2023-10-05T00:00:00"/>
    <s v="Machine wife show."/>
    <x v="3"/>
    <n v="2353"/>
    <x v="1"/>
    <x v="9"/>
    <n v="2023"/>
    <n v="2353"/>
  </r>
  <r>
    <d v="2023-10-06T00:00:00"/>
    <s v="Good lay coach."/>
    <x v="7"/>
    <n v="631.05999999999995"/>
    <x v="0"/>
    <x v="9"/>
    <n v="2023"/>
    <n v="-631.05999999999995"/>
  </r>
  <r>
    <d v="2023-10-08T00:00:00"/>
    <s v="Expect win stuff realize project."/>
    <x v="5"/>
    <n v="1868"/>
    <x v="1"/>
    <x v="9"/>
    <n v="2023"/>
    <n v="1868"/>
  </r>
  <r>
    <d v="2023-10-08T00:00:00"/>
    <s v="Draw american first."/>
    <x v="3"/>
    <n v="2942"/>
    <x v="1"/>
    <x v="9"/>
    <n v="2023"/>
    <n v="2942"/>
  </r>
  <r>
    <d v="2023-10-08T00:00:00"/>
    <s v="Employee continue none alone."/>
    <x v="8"/>
    <n v="1458.39"/>
    <x v="0"/>
    <x v="9"/>
    <n v="2023"/>
    <n v="-1458.39"/>
  </r>
  <r>
    <d v="2023-10-09T00:00:00"/>
    <s v="Challenge large wish move."/>
    <x v="7"/>
    <n v="872.99"/>
    <x v="0"/>
    <x v="9"/>
    <n v="2023"/>
    <n v="-872.99"/>
  </r>
  <r>
    <d v="2023-10-09T00:00:00"/>
    <s v="Identify material."/>
    <x v="1"/>
    <n v="692.04"/>
    <x v="0"/>
    <x v="9"/>
    <n v="2023"/>
    <n v="-692.04"/>
  </r>
  <r>
    <d v="2023-10-11T00:00:00"/>
    <s v="Until choose wife national."/>
    <x v="7"/>
    <n v="1502.73"/>
    <x v="0"/>
    <x v="9"/>
    <n v="2023"/>
    <n v="-1502.73"/>
  </r>
  <r>
    <d v="2023-10-13T00:00:00"/>
    <s v="Positive far time wide."/>
    <x v="5"/>
    <n v="656"/>
    <x v="1"/>
    <x v="9"/>
    <n v="2023"/>
    <n v="656"/>
  </r>
  <r>
    <d v="2023-10-14T00:00:00"/>
    <s v="Son rock two."/>
    <x v="1"/>
    <n v="430.27"/>
    <x v="0"/>
    <x v="9"/>
    <n v="2023"/>
    <n v="-430.27"/>
  </r>
  <r>
    <d v="2023-10-14T00:00:00"/>
    <s v="Rule too."/>
    <x v="3"/>
    <n v="1508"/>
    <x v="1"/>
    <x v="9"/>
    <n v="2023"/>
    <n v="1508"/>
  </r>
  <r>
    <d v="2023-10-15T00:00:00"/>
    <s v="Bring agent pay detail group."/>
    <x v="0"/>
    <n v="756.63"/>
    <x v="0"/>
    <x v="9"/>
    <n v="2023"/>
    <n v="-756.63"/>
  </r>
  <r>
    <d v="2023-10-15T00:00:00"/>
    <s v="Part crime."/>
    <x v="0"/>
    <n v="1191.9100000000001"/>
    <x v="0"/>
    <x v="9"/>
    <n v="2023"/>
    <n v="-1191.9100000000001"/>
  </r>
  <r>
    <d v="2023-10-16T00:00:00"/>
    <s v="Sit short cultural."/>
    <x v="3"/>
    <n v="661"/>
    <x v="1"/>
    <x v="9"/>
    <n v="2023"/>
    <n v="661"/>
  </r>
  <r>
    <d v="2023-10-17T00:00:00"/>
    <s v="Support quality whatever wish hour."/>
    <x v="3"/>
    <n v="3914"/>
    <x v="1"/>
    <x v="9"/>
    <n v="2023"/>
    <n v="3914"/>
  </r>
  <r>
    <d v="2023-10-17T00:00:00"/>
    <s v="Owner memory argue project."/>
    <x v="2"/>
    <n v="1099.0899999999999"/>
    <x v="0"/>
    <x v="9"/>
    <n v="2023"/>
    <n v="-1099.0899999999999"/>
  </r>
  <r>
    <d v="2023-10-27T00:00:00"/>
    <s v="Respond into history."/>
    <x v="1"/>
    <n v="418.93"/>
    <x v="0"/>
    <x v="9"/>
    <n v="2023"/>
    <n v="-418.93"/>
  </r>
  <r>
    <d v="2023-10-27T00:00:00"/>
    <s v="General final knowledge."/>
    <x v="0"/>
    <n v="609.22"/>
    <x v="0"/>
    <x v="9"/>
    <n v="2023"/>
    <n v="-609.22"/>
  </r>
  <r>
    <d v="2023-10-29T00:00:00"/>
    <s v="Democratic thousand."/>
    <x v="9"/>
    <n v="1249.3699999999999"/>
    <x v="0"/>
    <x v="9"/>
    <n v="2023"/>
    <n v="-1249.3699999999999"/>
  </r>
  <r>
    <d v="2023-10-30T00:00:00"/>
    <s v="Eye south wife interest."/>
    <x v="4"/>
    <n v="1663"/>
    <x v="0"/>
    <x v="9"/>
    <n v="2023"/>
    <n v="-1663"/>
  </r>
  <r>
    <d v="2023-10-30T00:00:00"/>
    <s v="Structure our century."/>
    <x v="3"/>
    <n v="2815"/>
    <x v="1"/>
    <x v="9"/>
    <n v="2023"/>
    <n v="2815"/>
  </r>
  <r>
    <d v="2023-11-04T00:00:00"/>
    <s v="Write moment friend value."/>
    <x v="3"/>
    <n v="4577"/>
    <x v="1"/>
    <x v="10"/>
    <n v="2023"/>
    <n v="4577"/>
  </r>
  <r>
    <d v="2023-11-05T00:00:00"/>
    <s v="According police."/>
    <x v="3"/>
    <n v="2654"/>
    <x v="1"/>
    <x v="10"/>
    <n v="2023"/>
    <n v="2654"/>
  </r>
  <r>
    <d v="2023-11-08T00:00:00"/>
    <s v="Company left nothing trip."/>
    <x v="6"/>
    <n v="722.26"/>
    <x v="0"/>
    <x v="10"/>
    <n v="2023"/>
    <n v="-722.26"/>
  </r>
  <r>
    <d v="2023-11-08T00:00:00"/>
    <s v="Strategy face make."/>
    <x v="1"/>
    <n v="88.42"/>
    <x v="0"/>
    <x v="10"/>
    <n v="2023"/>
    <n v="-88.42"/>
  </r>
  <r>
    <d v="2023-11-08T00:00:00"/>
    <s v="Fight nice less agree able."/>
    <x v="6"/>
    <n v="1379.53"/>
    <x v="0"/>
    <x v="10"/>
    <n v="2023"/>
    <n v="-1379.53"/>
  </r>
  <r>
    <d v="2023-11-09T00:00:00"/>
    <s v="What strong line."/>
    <x v="6"/>
    <n v="15.45"/>
    <x v="0"/>
    <x v="10"/>
    <n v="2023"/>
    <n v="-15.45"/>
  </r>
  <r>
    <d v="2023-11-09T00:00:00"/>
    <s v="Conference trade population agreement."/>
    <x v="2"/>
    <n v="1672.11"/>
    <x v="0"/>
    <x v="10"/>
    <n v="2023"/>
    <n v="-1672.11"/>
  </r>
  <r>
    <d v="2023-11-11T00:00:00"/>
    <s v="Yes at seat ok."/>
    <x v="1"/>
    <n v="1899.4"/>
    <x v="0"/>
    <x v="10"/>
    <n v="2023"/>
    <n v="-1899.4"/>
  </r>
  <r>
    <d v="2023-11-11T00:00:00"/>
    <s v="Than physical live reason."/>
    <x v="2"/>
    <n v="1449.89"/>
    <x v="0"/>
    <x v="10"/>
    <n v="2023"/>
    <n v="-1449.89"/>
  </r>
  <r>
    <d v="2023-11-13T00:00:00"/>
    <s v="Mention offer suddenly clear."/>
    <x v="5"/>
    <n v="2393"/>
    <x v="1"/>
    <x v="10"/>
    <n v="2023"/>
    <n v="2393"/>
  </r>
  <r>
    <d v="2023-11-14T00:00:00"/>
    <s v="Floor there career."/>
    <x v="9"/>
    <n v="535.61"/>
    <x v="0"/>
    <x v="10"/>
    <n v="2023"/>
    <n v="-535.61"/>
  </r>
  <r>
    <d v="2023-11-14T00:00:00"/>
    <s v="Evening information."/>
    <x v="3"/>
    <n v="823"/>
    <x v="1"/>
    <x v="10"/>
    <n v="2023"/>
    <n v="823"/>
  </r>
  <r>
    <d v="2023-11-15T00:00:00"/>
    <s v="Face morning."/>
    <x v="7"/>
    <n v="1605.18"/>
    <x v="0"/>
    <x v="10"/>
    <n v="2023"/>
    <n v="-1605.18"/>
  </r>
  <r>
    <d v="2023-11-17T00:00:00"/>
    <s v="Create physical share out cold."/>
    <x v="2"/>
    <n v="199.05"/>
    <x v="0"/>
    <x v="10"/>
    <n v="2023"/>
    <n v="-199.05"/>
  </r>
  <r>
    <d v="2023-11-18T00:00:00"/>
    <s v="Step rate feeling rate."/>
    <x v="0"/>
    <n v="29.25"/>
    <x v="0"/>
    <x v="10"/>
    <n v="2023"/>
    <n v="-29.25"/>
  </r>
  <r>
    <d v="2023-11-21T00:00:00"/>
    <s v="Move goal."/>
    <x v="3"/>
    <n v="3192"/>
    <x v="1"/>
    <x v="10"/>
    <n v="2023"/>
    <n v="3192"/>
  </r>
  <r>
    <d v="2023-11-21T00:00:00"/>
    <s v="Carry example."/>
    <x v="8"/>
    <n v="1910.63"/>
    <x v="0"/>
    <x v="10"/>
    <n v="2023"/>
    <n v="-1910.63"/>
  </r>
  <r>
    <d v="2023-11-22T00:00:00"/>
    <s v="Future treat bill choice."/>
    <x v="2"/>
    <n v="751.52"/>
    <x v="0"/>
    <x v="10"/>
    <n v="2023"/>
    <n v="-751.52"/>
  </r>
  <r>
    <d v="2023-11-23T00:00:00"/>
    <s v="Somebody next ready."/>
    <x v="2"/>
    <n v="807.55"/>
    <x v="0"/>
    <x v="10"/>
    <n v="2023"/>
    <n v="-807.55"/>
  </r>
  <r>
    <d v="2023-11-23T00:00:00"/>
    <s v="Republican reduce sort individual trouble."/>
    <x v="9"/>
    <n v="1673.06"/>
    <x v="0"/>
    <x v="10"/>
    <n v="2023"/>
    <n v="-1673.06"/>
  </r>
  <r>
    <d v="2023-11-26T00:00:00"/>
    <s v="Type look find."/>
    <x v="8"/>
    <n v="1601.8"/>
    <x v="0"/>
    <x v="10"/>
    <n v="2023"/>
    <n v="-1601.8"/>
  </r>
  <r>
    <d v="2023-11-26T00:00:00"/>
    <s v="Stage threat our."/>
    <x v="1"/>
    <n v="234.98"/>
    <x v="0"/>
    <x v="10"/>
    <n v="2023"/>
    <n v="-234.98"/>
  </r>
  <r>
    <d v="2023-11-26T00:00:00"/>
    <s v="Report agreement sport."/>
    <x v="0"/>
    <n v="1963.32"/>
    <x v="0"/>
    <x v="10"/>
    <n v="2023"/>
    <n v="-1963.32"/>
  </r>
  <r>
    <d v="2023-11-26T00:00:00"/>
    <s v="Task central dinner."/>
    <x v="2"/>
    <n v="837.9"/>
    <x v="0"/>
    <x v="10"/>
    <n v="2023"/>
    <n v="-837.9"/>
  </r>
  <r>
    <d v="2023-11-27T00:00:00"/>
    <s v="Candidate bad real."/>
    <x v="8"/>
    <n v="370.71"/>
    <x v="0"/>
    <x v="10"/>
    <n v="2023"/>
    <n v="-370.71"/>
  </r>
  <r>
    <d v="2023-11-27T00:00:00"/>
    <s v="Affect machine."/>
    <x v="7"/>
    <n v="1226.5999999999999"/>
    <x v="0"/>
    <x v="10"/>
    <n v="2023"/>
    <n v="-1226.5999999999999"/>
  </r>
  <r>
    <d v="2023-11-28T00:00:00"/>
    <s v="Cultural allow."/>
    <x v="1"/>
    <n v="971.33"/>
    <x v="0"/>
    <x v="10"/>
    <n v="2023"/>
    <n v="-971.33"/>
  </r>
  <r>
    <d v="2023-11-28T00:00:00"/>
    <s v="Arrive budget education at property."/>
    <x v="4"/>
    <n v="886.97"/>
    <x v="0"/>
    <x v="10"/>
    <n v="2023"/>
    <n v="-886.97"/>
  </r>
  <r>
    <d v="2023-11-29T00:00:00"/>
    <s v="Turn day top."/>
    <x v="5"/>
    <n v="601"/>
    <x v="1"/>
    <x v="10"/>
    <n v="2023"/>
    <n v="601"/>
  </r>
  <r>
    <d v="2023-12-05T00:00:00"/>
    <s v="Ahead certainly second everyone."/>
    <x v="6"/>
    <n v="1956.01"/>
    <x v="0"/>
    <x v="11"/>
    <n v="2023"/>
    <n v="-1956.01"/>
  </r>
  <r>
    <d v="2023-12-05T00:00:00"/>
    <s v="Goal talk sit party."/>
    <x v="7"/>
    <n v="1043.01"/>
    <x v="0"/>
    <x v="11"/>
    <n v="2023"/>
    <n v="-1043.01"/>
  </r>
  <r>
    <d v="2023-12-06T00:00:00"/>
    <s v="Attention standard shake more respond."/>
    <x v="2"/>
    <n v="871.37"/>
    <x v="0"/>
    <x v="11"/>
    <n v="2023"/>
    <n v="-871.37"/>
  </r>
  <r>
    <d v="2023-12-08T00:00:00"/>
    <s v="Top mr wind."/>
    <x v="8"/>
    <n v="698.04"/>
    <x v="0"/>
    <x v="11"/>
    <n v="2023"/>
    <n v="-698.04"/>
  </r>
  <r>
    <d v="2023-12-09T00:00:00"/>
    <s v="Turn surface listen."/>
    <x v="4"/>
    <n v="305.82"/>
    <x v="0"/>
    <x v="11"/>
    <n v="2023"/>
    <n v="-305.82"/>
  </r>
  <r>
    <d v="2023-12-09T00:00:00"/>
    <s v="Pull blue strong wonder."/>
    <x v="0"/>
    <n v="33.17"/>
    <x v="0"/>
    <x v="11"/>
    <n v="2023"/>
    <n v="-33.17"/>
  </r>
  <r>
    <d v="2023-12-10T00:00:00"/>
    <s v="Method imagine seven."/>
    <x v="8"/>
    <n v="1705.22"/>
    <x v="0"/>
    <x v="11"/>
    <n v="2023"/>
    <n v="-1705.22"/>
  </r>
  <r>
    <d v="2023-12-11T00:00:00"/>
    <s v="Letter mind many."/>
    <x v="2"/>
    <n v="1505.35"/>
    <x v="0"/>
    <x v="11"/>
    <n v="2023"/>
    <n v="-1505.35"/>
  </r>
  <r>
    <d v="2023-12-13T00:00:00"/>
    <s v="News american foreign."/>
    <x v="7"/>
    <n v="1940.59"/>
    <x v="0"/>
    <x v="11"/>
    <n v="2023"/>
    <n v="-1940.59"/>
  </r>
  <r>
    <d v="2023-12-14T00:00:00"/>
    <s v="Exist outside find wish."/>
    <x v="3"/>
    <n v="3601"/>
    <x v="1"/>
    <x v="11"/>
    <n v="2023"/>
    <n v="3601"/>
  </r>
  <r>
    <d v="2023-12-14T00:00:00"/>
    <s v="Network fact talk."/>
    <x v="6"/>
    <n v="166.87"/>
    <x v="0"/>
    <x v="11"/>
    <n v="2023"/>
    <n v="-166.87"/>
  </r>
  <r>
    <d v="2023-12-18T00:00:00"/>
    <s v="Thus sort."/>
    <x v="8"/>
    <n v="185.16"/>
    <x v="0"/>
    <x v="11"/>
    <n v="2023"/>
    <n v="-185.16"/>
  </r>
  <r>
    <d v="2023-12-20T00:00:00"/>
    <s v="Actually purpose public."/>
    <x v="7"/>
    <n v="246.23"/>
    <x v="0"/>
    <x v="11"/>
    <n v="2023"/>
    <n v="-246.23"/>
  </r>
  <r>
    <d v="2023-12-21T00:00:00"/>
    <s v="Mission put budget house."/>
    <x v="0"/>
    <n v="214.26"/>
    <x v="0"/>
    <x v="11"/>
    <n v="2023"/>
    <n v="-214.26"/>
  </r>
  <r>
    <d v="2023-12-22T00:00:00"/>
    <s v="Ask window full."/>
    <x v="0"/>
    <n v="1653.56"/>
    <x v="0"/>
    <x v="11"/>
    <n v="2023"/>
    <n v="-1653.56"/>
  </r>
  <r>
    <d v="2023-12-23T00:00:00"/>
    <s v="Do interesting material."/>
    <x v="9"/>
    <n v="1781.32"/>
    <x v="0"/>
    <x v="11"/>
    <n v="2023"/>
    <n v="-1781.32"/>
  </r>
  <r>
    <d v="2023-12-25T00:00:00"/>
    <s v="Event smile popular hundred live."/>
    <x v="8"/>
    <n v="1901.21"/>
    <x v="0"/>
    <x v="11"/>
    <n v="2023"/>
    <n v="-1901.21"/>
  </r>
  <r>
    <d v="2023-12-26T00:00:00"/>
    <s v="Memory challenge lawyer business."/>
    <x v="0"/>
    <n v="1635.01"/>
    <x v="0"/>
    <x v="11"/>
    <n v="2023"/>
    <n v="-1635.01"/>
  </r>
  <r>
    <d v="2023-12-27T00:00:00"/>
    <s v="Discuss wall ahead scene."/>
    <x v="7"/>
    <n v="1124.7"/>
    <x v="0"/>
    <x v="11"/>
    <n v="2023"/>
    <n v="-1124.7"/>
  </r>
  <r>
    <d v="2023-12-29T00:00:00"/>
    <s v="Question will him quickly."/>
    <x v="8"/>
    <n v="1436.15"/>
    <x v="0"/>
    <x v="11"/>
    <n v="2023"/>
    <n v="-1436.15"/>
  </r>
  <r>
    <d v="2023-12-29T00:00:00"/>
    <s v="Perform benefit baby."/>
    <x v="8"/>
    <n v="236.91"/>
    <x v="0"/>
    <x v="11"/>
    <n v="2023"/>
    <n v="-236.91"/>
  </r>
  <r>
    <d v="2023-12-29T00:00:00"/>
    <s v="Society dark product make."/>
    <x v="6"/>
    <n v="14.37"/>
    <x v="0"/>
    <x v="11"/>
    <n v="2023"/>
    <n v="-14.37"/>
  </r>
  <r>
    <d v="2024-01-02T00:00:00"/>
    <s v="Gas teacher national weight all."/>
    <x v="9"/>
    <n v="1099.9000000000001"/>
    <x v="0"/>
    <x v="0"/>
    <n v="2024"/>
    <n v="-1099.9000000000001"/>
  </r>
  <r>
    <d v="2024-01-02T00:00:00"/>
    <s v="Himself fire heavy."/>
    <x v="2"/>
    <n v="101.1"/>
    <x v="0"/>
    <x v="0"/>
    <n v="2024"/>
    <n v="-101.1"/>
  </r>
  <r>
    <d v="2024-01-04T00:00:00"/>
    <s v="Allow news."/>
    <x v="3"/>
    <n v="3852"/>
    <x v="1"/>
    <x v="0"/>
    <n v="2024"/>
    <n v="3852"/>
  </r>
  <r>
    <d v="2024-01-04T00:00:00"/>
    <s v="Man care resource."/>
    <x v="3"/>
    <n v="2036"/>
    <x v="1"/>
    <x v="0"/>
    <n v="2024"/>
    <n v="2036"/>
  </r>
  <r>
    <d v="2024-01-07T00:00:00"/>
    <s v="Notice make."/>
    <x v="5"/>
    <n v="2266"/>
    <x v="1"/>
    <x v="0"/>
    <n v="2024"/>
    <n v="2266"/>
  </r>
  <r>
    <d v="2024-01-09T00:00:00"/>
    <s v="Occur live take media hot."/>
    <x v="6"/>
    <n v="1436.41"/>
    <x v="0"/>
    <x v="0"/>
    <n v="2024"/>
    <n v="-1436.41"/>
  </r>
  <r>
    <d v="2024-01-09T00:00:00"/>
    <s v="Wife pay good within fly."/>
    <x v="5"/>
    <n v="880"/>
    <x v="1"/>
    <x v="0"/>
    <n v="2024"/>
    <n v="880"/>
  </r>
  <r>
    <d v="2024-01-10T00:00:00"/>
    <s v="And student give score agree."/>
    <x v="2"/>
    <n v="1546.57"/>
    <x v="0"/>
    <x v="0"/>
    <n v="2024"/>
    <n v="-1546.57"/>
  </r>
  <r>
    <d v="2024-01-11T00:00:00"/>
    <s v="Best generation group goal."/>
    <x v="1"/>
    <n v="1928.07"/>
    <x v="0"/>
    <x v="0"/>
    <n v="2024"/>
    <n v="-1928.07"/>
  </r>
  <r>
    <d v="2024-01-11T00:00:00"/>
    <s v="Doctor fine be."/>
    <x v="3"/>
    <n v="4045"/>
    <x v="1"/>
    <x v="0"/>
    <n v="2024"/>
    <n v="4045"/>
  </r>
  <r>
    <d v="2024-01-11T00:00:00"/>
    <s v="Boy college mrs."/>
    <x v="8"/>
    <n v="1849.5"/>
    <x v="0"/>
    <x v="0"/>
    <n v="2024"/>
    <n v="-1849.5"/>
  </r>
  <r>
    <d v="2024-01-12T00:00:00"/>
    <s v="Price institution method inside."/>
    <x v="1"/>
    <n v="1386.72"/>
    <x v="0"/>
    <x v="0"/>
    <n v="2024"/>
    <n v="-1386.72"/>
  </r>
  <r>
    <d v="2024-01-13T00:00:00"/>
    <s v="Onto worry help hope."/>
    <x v="3"/>
    <n v="1348"/>
    <x v="1"/>
    <x v="0"/>
    <n v="2024"/>
    <n v="1348"/>
  </r>
  <r>
    <d v="2024-01-14T00:00:00"/>
    <s v="Space beyond."/>
    <x v="7"/>
    <n v="1013.18"/>
    <x v="0"/>
    <x v="0"/>
    <n v="2024"/>
    <n v="-1013.18"/>
  </r>
  <r>
    <d v="2024-01-15T00:00:00"/>
    <s v="Market specific property coach."/>
    <x v="6"/>
    <n v="554.46"/>
    <x v="0"/>
    <x v="0"/>
    <n v="2024"/>
    <n v="-554.46"/>
  </r>
  <r>
    <d v="2024-01-16T00:00:00"/>
    <s v="Wide cut player wind."/>
    <x v="9"/>
    <n v="911.16"/>
    <x v="0"/>
    <x v="0"/>
    <n v="2024"/>
    <n v="-911.16"/>
  </r>
  <r>
    <d v="2024-01-16T00:00:00"/>
    <s v="Degree enter father of source."/>
    <x v="5"/>
    <n v="4696"/>
    <x v="1"/>
    <x v="0"/>
    <n v="2024"/>
    <n v="4696"/>
  </r>
  <r>
    <d v="2024-01-16T00:00:00"/>
    <s v="Behind front attack song little."/>
    <x v="7"/>
    <n v="1426.63"/>
    <x v="0"/>
    <x v="0"/>
    <n v="2024"/>
    <n v="-1426.63"/>
  </r>
  <r>
    <d v="2024-01-17T00:00:00"/>
    <s v="Somebody prepare few sound."/>
    <x v="6"/>
    <n v="409.77"/>
    <x v="0"/>
    <x v="0"/>
    <n v="2024"/>
    <n v="-409.77"/>
  </r>
  <r>
    <d v="2024-01-19T00:00:00"/>
    <s v="Finish increase economy middle public."/>
    <x v="9"/>
    <n v="1376.36"/>
    <x v="0"/>
    <x v="0"/>
    <n v="2024"/>
    <n v="-1376.36"/>
  </r>
  <r>
    <d v="2024-01-19T00:00:00"/>
    <s v="Thing physical might."/>
    <x v="1"/>
    <n v="1962.86"/>
    <x v="0"/>
    <x v="0"/>
    <n v="2024"/>
    <n v="-1962.86"/>
  </r>
  <r>
    <d v="2024-01-19T00:00:00"/>
    <s v="Material produce station visit environmental."/>
    <x v="1"/>
    <n v="1012.75"/>
    <x v="0"/>
    <x v="0"/>
    <n v="2024"/>
    <n v="-1012.75"/>
  </r>
  <r>
    <d v="2024-01-19T00:00:00"/>
    <s v="Table trade various risk art."/>
    <x v="7"/>
    <n v="1423.6"/>
    <x v="0"/>
    <x v="0"/>
    <n v="2024"/>
    <n v="-1423.6"/>
  </r>
  <r>
    <d v="2024-01-20T00:00:00"/>
    <s v="Leg drive second she."/>
    <x v="8"/>
    <n v="1169.78"/>
    <x v="0"/>
    <x v="0"/>
    <n v="2024"/>
    <n v="-1169.78"/>
  </r>
  <r>
    <d v="2024-01-22T00:00:00"/>
    <s v="Five store ask data."/>
    <x v="4"/>
    <n v="1351.74"/>
    <x v="0"/>
    <x v="0"/>
    <n v="2024"/>
    <n v="-1351.74"/>
  </r>
  <r>
    <d v="2024-01-23T00:00:00"/>
    <s v="Statement position either."/>
    <x v="9"/>
    <n v="1756.18"/>
    <x v="0"/>
    <x v="0"/>
    <n v="2024"/>
    <n v="-1756.18"/>
  </r>
  <r>
    <d v="2024-01-24T00:00:00"/>
    <s v="Draw change agree someone."/>
    <x v="0"/>
    <n v="1050.23"/>
    <x v="0"/>
    <x v="0"/>
    <n v="2024"/>
    <n v="-1050.23"/>
  </r>
  <r>
    <d v="2024-01-25T00:00:00"/>
    <s v="Magazine yard instead town."/>
    <x v="3"/>
    <n v="934"/>
    <x v="1"/>
    <x v="0"/>
    <n v="2024"/>
    <n v="934"/>
  </r>
  <r>
    <d v="2024-01-26T00:00:00"/>
    <s v="Evening ahead smile."/>
    <x v="6"/>
    <n v="541.29"/>
    <x v="0"/>
    <x v="0"/>
    <n v="2024"/>
    <n v="-541.29"/>
  </r>
  <r>
    <d v="2024-01-26T00:00:00"/>
    <s v="Compare system white magazine after."/>
    <x v="9"/>
    <n v="1369.95"/>
    <x v="0"/>
    <x v="0"/>
    <n v="2024"/>
    <n v="-1369.95"/>
  </r>
  <r>
    <d v="2024-01-26T00:00:00"/>
    <s v="Own test too imagine."/>
    <x v="3"/>
    <n v="2917"/>
    <x v="1"/>
    <x v="0"/>
    <n v="2024"/>
    <n v="2917"/>
  </r>
  <r>
    <d v="2024-01-27T00:00:00"/>
    <s v="However style."/>
    <x v="0"/>
    <n v="723.78"/>
    <x v="0"/>
    <x v="0"/>
    <n v="2024"/>
    <n v="-723.78"/>
  </r>
  <r>
    <d v="2024-01-28T00:00:00"/>
    <s v="Born same usually."/>
    <x v="6"/>
    <n v="1487.4"/>
    <x v="0"/>
    <x v="0"/>
    <n v="2024"/>
    <n v="-1487.4"/>
  </r>
  <r>
    <d v="2024-01-30T00:00:00"/>
    <s v="Wear use edge this draw."/>
    <x v="6"/>
    <n v="1026.74"/>
    <x v="0"/>
    <x v="0"/>
    <n v="2024"/>
    <n v="-1026.74"/>
  </r>
  <r>
    <d v="2024-02-01T00:00:00"/>
    <s v="Forget once hope security."/>
    <x v="9"/>
    <n v="1388.94"/>
    <x v="0"/>
    <x v="1"/>
    <n v="2024"/>
    <n v="-1388.94"/>
  </r>
  <r>
    <d v="2024-02-06T00:00:00"/>
    <s v="Design blood degree ever."/>
    <x v="5"/>
    <n v="3674"/>
    <x v="1"/>
    <x v="1"/>
    <n v="2024"/>
    <n v="3674"/>
  </r>
  <r>
    <d v="2024-02-07T00:00:00"/>
    <s v="Television argue mouth."/>
    <x v="7"/>
    <n v="1932.01"/>
    <x v="0"/>
    <x v="1"/>
    <n v="2024"/>
    <n v="-1932.01"/>
  </r>
  <r>
    <d v="2024-02-07T00:00:00"/>
    <s v="Nation little east everyone."/>
    <x v="5"/>
    <n v="2163"/>
    <x v="1"/>
    <x v="1"/>
    <n v="2024"/>
    <n v="2163"/>
  </r>
  <r>
    <d v="2024-02-10T00:00:00"/>
    <s v="Little happy final population."/>
    <x v="8"/>
    <n v="1661.67"/>
    <x v="0"/>
    <x v="1"/>
    <n v="2024"/>
    <n v="-1661.67"/>
  </r>
  <r>
    <d v="2024-02-10T00:00:00"/>
    <s v="Real small."/>
    <x v="7"/>
    <n v="1512.66"/>
    <x v="0"/>
    <x v="1"/>
    <n v="2024"/>
    <n v="-1512.66"/>
  </r>
  <r>
    <d v="2024-02-10T00:00:00"/>
    <s v="Need finally when."/>
    <x v="6"/>
    <n v="1554.53"/>
    <x v="0"/>
    <x v="1"/>
    <n v="2024"/>
    <n v="-1554.53"/>
  </r>
  <r>
    <d v="2024-02-14T00:00:00"/>
    <s v="Movement door kind."/>
    <x v="9"/>
    <n v="903.14"/>
    <x v="0"/>
    <x v="1"/>
    <n v="2024"/>
    <n v="-903.14"/>
  </r>
  <r>
    <d v="2024-02-14T00:00:00"/>
    <s v="Until truth feeling view."/>
    <x v="2"/>
    <n v="382.08"/>
    <x v="0"/>
    <x v="1"/>
    <n v="2024"/>
    <n v="-382.08"/>
  </r>
  <r>
    <d v="2024-02-15T00:00:00"/>
    <s v="Decision three trouble."/>
    <x v="3"/>
    <n v="3590"/>
    <x v="1"/>
    <x v="1"/>
    <n v="2024"/>
    <n v="3590"/>
  </r>
  <r>
    <d v="2024-02-16T00:00:00"/>
    <s v="Smile ever bag single."/>
    <x v="5"/>
    <n v="2664"/>
    <x v="1"/>
    <x v="1"/>
    <n v="2024"/>
    <n v="2664"/>
  </r>
  <r>
    <d v="2024-02-17T00:00:00"/>
    <s v="Say unit four institution."/>
    <x v="5"/>
    <n v="546"/>
    <x v="1"/>
    <x v="1"/>
    <n v="2024"/>
    <n v="546"/>
  </r>
  <r>
    <d v="2024-02-19T00:00:00"/>
    <s v="Recognize media goal."/>
    <x v="1"/>
    <n v="89.48"/>
    <x v="0"/>
    <x v="1"/>
    <n v="2024"/>
    <n v="-89.48"/>
  </r>
  <r>
    <d v="2024-02-21T00:00:00"/>
    <s v="Law agree appear political."/>
    <x v="0"/>
    <n v="1549.59"/>
    <x v="0"/>
    <x v="1"/>
    <n v="2024"/>
    <n v="-1549.59"/>
  </r>
  <r>
    <d v="2024-02-21T00:00:00"/>
    <s v="Able customer figure."/>
    <x v="9"/>
    <n v="986.2"/>
    <x v="0"/>
    <x v="1"/>
    <n v="2024"/>
    <n v="-986.2"/>
  </r>
  <r>
    <d v="2024-02-21T00:00:00"/>
    <s v="Book economic."/>
    <x v="7"/>
    <n v="155.03"/>
    <x v="0"/>
    <x v="1"/>
    <n v="2024"/>
    <n v="-155.03"/>
  </r>
  <r>
    <d v="2024-02-22T00:00:00"/>
    <s v="Rate society floor long same."/>
    <x v="6"/>
    <n v="1914.41"/>
    <x v="0"/>
    <x v="1"/>
    <n v="2024"/>
    <n v="-1914.41"/>
  </r>
  <r>
    <d v="2024-02-23T00:00:00"/>
    <s v="Reach step son."/>
    <x v="1"/>
    <n v="837.7"/>
    <x v="0"/>
    <x v="1"/>
    <n v="2024"/>
    <n v="-837.7"/>
  </r>
  <r>
    <d v="2024-02-23T00:00:00"/>
    <s v="Increase consider."/>
    <x v="2"/>
    <n v="705.31"/>
    <x v="0"/>
    <x v="1"/>
    <n v="2024"/>
    <n v="-705.31"/>
  </r>
  <r>
    <d v="2024-02-24T00:00:00"/>
    <s v="Difference way type positive phone."/>
    <x v="7"/>
    <n v="668.82"/>
    <x v="0"/>
    <x v="1"/>
    <n v="2024"/>
    <n v="-668.82"/>
  </r>
  <r>
    <d v="2024-02-24T00:00:00"/>
    <s v="Cup red collection husband."/>
    <x v="8"/>
    <n v="1993.3"/>
    <x v="0"/>
    <x v="1"/>
    <n v="2024"/>
    <n v="-1993.3"/>
  </r>
  <r>
    <d v="2024-02-25T00:00:00"/>
    <s v="Employee become happy water bring."/>
    <x v="0"/>
    <n v="238.3"/>
    <x v="0"/>
    <x v="1"/>
    <n v="2024"/>
    <n v="-238.3"/>
  </r>
  <r>
    <d v="2024-02-27T00:00:00"/>
    <s v="Significant up still management."/>
    <x v="6"/>
    <n v="1809.95"/>
    <x v="0"/>
    <x v="1"/>
    <n v="2024"/>
    <n v="-1809.95"/>
  </r>
  <r>
    <d v="2024-02-27T00:00:00"/>
    <s v="Course technology site."/>
    <x v="6"/>
    <n v="1918.2"/>
    <x v="0"/>
    <x v="1"/>
    <n v="2024"/>
    <n v="-1918.2"/>
  </r>
  <r>
    <d v="2024-02-27T00:00:00"/>
    <s v="High issue deal democratic."/>
    <x v="7"/>
    <n v="768.93"/>
    <x v="0"/>
    <x v="1"/>
    <n v="2024"/>
    <n v="-768.93"/>
  </r>
  <r>
    <d v="2024-02-28T00:00:00"/>
    <s v="Industry impact certainly."/>
    <x v="2"/>
    <n v="777.89"/>
    <x v="0"/>
    <x v="1"/>
    <n v="2024"/>
    <n v="-777.89"/>
  </r>
  <r>
    <d v="2024-02-29T00:00:00"/>
    <s v="Dog late eat."/>
    <x v="9"/>
    <n v="59.16"/>
    <x v="0"/>
    <x v="1"/>
    <n v="2024"/>
    <n v="-59.16"/>
  </r>
  <r>
    <d v="2024-03-02T00:00:00"/>
    <s v="Beat light the window."/>
    <x v="7"/>
    <n v="1033.48"/>
    <x v="0"/>
    <x v="2"/>
    <n v="2024"/>
    <n v="-1033.48"/>
  </r>
  <r>
    <d v="2024-03-03T00:00:00"/>
    <s v="Require remain save."/>
    <x v="8"/>
    <n v="97.26"/>
    <x v="0"/>
    <x v="2"/>
    <n v="2024"/>
    <n v="-97.26"/>
  </r>
  <r>
    <d v="2024-03-05T00:00:00"/>
    <s v="Believe arrive."/>
    <x v="6"/>
    <n v="647.41999999999996"/>
    <x v="0"/>
    <x v="2"/>
    <n v="2024"/>
    <n v="-647.41999999999996"/>
  </r>
  <r>
    <d v="2024-03-05T00:00:00"/>
    <s v="Likely great paper."/>
    <x v="3"/>
    <n v="1871"/>
    <x v="1"/>
    <x v="2"/>
    <n v="2024"/>
    <n v="1871"/>
  </r>
  <r>
    <d v="2024-03-06T00:00:00"/>
    <s v="Effect people."/>
    <x v="0"/>
    <n v="1257.5999999999999"/>
    <x v="0"/>
    <x v="2"/>
    <n v="2024"/>
    <n v="-1257.5999999999999"/>
  </r>
  <r>
    <d v="2024-03-06T00:00:00"/>
    <s v="Provide car throughout american."/>
    <x v="6"/>
    <n v="1731.25"/>
    <x v="0"/>
    <x v="2"/>
    <n v="2024"/>
    <n v="-1731.25"/>
  </r>
  <r>
    <d v="2024-03-06T00:00:00"/>
    <s v="College manage fund."/>
    <x v="2"/>
    <n v="419.1"/>
    <x v="0"/>
    <x v="2"/>
    <n v="2024"/>
    <n v="-419.1"/>
  </r>
  <r>
    <d v="2024-03-07T00:00:00"/>
    <s v="Bed report item."/>
    <x v="4"/>
    <n v="1296.6600000000001"/>
    <x v="0"/>
    <x v="2"/>
    <n v="2024"/>
    <n v="-1296.6600000000001"/>
  </r>
  <r>
    <d v="2024-03-07T00:00:00"/>
    <s v="Finish without."/>
    <x v="1"/>
    <n v="57.27"/>
    <x v="0"/>
    <x v="2"/>
    <n v="2024"/>
    <n v="-57.27"/>
  </r>
  <r>
    <d v="2024-03-08T00:00:00"/>
    <s v="Security unit executive."/>
    <x v="0"/>
    <n v="184.17"/>
    <x v="0"/>
    <x v="2"/>
    <n v="2024"/>
    <n v="-184.17"/>
  </r>
  <r>
    <d v="2024-03-11T00:00:00"/>
    <s v="Stop unit might job close."/>
    <x v="5"/>
    <n v="1077"/>
    <x v="1"/>
    <x v="2"/>
    <n v="2024"/>
    <n v="1077"/>
  </r>
  <r>
    <d v="2024-03-13T00:00:00"/>
    <s v="New type pm."/>
    <x v="6"/>
    <n v="1822.86"/>
    <x v="0"/>
    <x v="2"/>
    <n v="2024"/>
    <n v="-1822.86"/>
  </r>
  <r>
    <d v="2024-03-15T00:00:00"/>
    <s v="Country approach."/>
    <x v="8"/>
    <n v="1264.1300000000001"/>
    <x v="0"/>
    <x v="2"/>
    <n v="2024"/>
    <n v="-1264.1300000000001"/>
  </r>
  <r>
    <d v="2024-03-16T00:00:00"/>
    <s v="Like clear."/>
    <x v="0"/>
    <n v="785.11"/>
    <x v="0"/>
    <x v="2"/>
    <n v="2024"/>
    <n v="-785.11"/>
  </r>
  <r>
    <d v="2024-03-18T00:00:00"/>
    <s v="Break time manager kid."/>
    <x v="3"/>
    <n v="1018"/>
    <x v="1"/>
    <x v="2"/>
    <n v="2024"/>
    <n v="1018"/>
  </r>
  <r>
    <d v="2024-03-26T00:00:00"/>
    <s v="Leader both rest challenge."/>
    <x v="0"/>
    <n v="1404.76"/>
    <x v="0"/>
    <x v="2"/>
    <n v="2024"/>
    <n v="-1404.76"/>
  </r>
  <r>
    <d v="2024-03-27T00:00:00"/>
    <s v="Data exist."/>
    <x v="3"/>
    <n v="2874"/>
    <x v="1"/>
    <x v="2"/>
    <n v="2024"/>
    <n v="2874"/>
  </r>
  <r>
    <d v="2024-03-28T00:00:00"/>
    <s v="State none production defense your."/>
    <x v="9"/>
    <n v="1217.07"/>
    <x v="0"/>
    <x v="2"/>
    <n v="2024"/>
    <n v="-1217.07"/>
  </r>
  <r>
    <d v="2024-03-29T00:00:00"/>
    <s v="Short congress turn east marriage."/>
    <x v="8"/>
    <n v="769.01"/>
    <x v="0"/>
    <x v="2"/>
    <n v="2024"/>
    <n v="-769.01"/>
  </r>
  <r>
    <d v="2024-03-30T00:00:00"/>
    <s v="Ago race quite hour."/>
    <x v="0"/>
    <n v="953.24"/>
    <x v="0"/>
    <x v="2"/>
    <n v="2024"/>
    <n v="-953.24"/>
  </r>
  <r>
    <d v="2024-03-30T00:00:00"/>
    <s v="Child ball store process."/>
    <x v="1"/>
    <n v="1496.04"/>
    <x v="0"/>
    <x v="2"/>
    <n v="2024"/>
    <n v="-1496.04"/>
  </r>
  <r>
    <d v="2024-04-03T00:00:00"/>
    <s v="Western order accept wide prevent."/>
    <x v="9"/>
    <n v="1920.67"/>
    <x v="0"/>
    <x v="3"/>
    <n v="2024"/>
    <n v="-1920.67"/>
  </r>
  <r>
    <d v="2024-04-04T00:00:00"/>
    <s v="Water yourself trade someone."/>
    <x v="5"/>
    <n v="591"/>
    <x v="1"/>
    <x v="3"/>
    <n v="2024"/>
    <n v="591"/>
  </r>
  <r>
    <d v="2024-04-06T00:00:00"/>
    <s v="Tell soon executive."/>
    <x v="1"/>
    <n v="255.24"/>
    <x v="0"/>
    <x v="3"/>
    <n v="2024"/>
    <n v="-255.24"/>
  </r>
  <r>
    <d v="2024-04-07T00:00:00"/>
    <s v="Natural own."/>
    <x v="5"/>
    <n v="4900"/>
    <x v="1"/>
    <x v="3"/>
    <n v="2024"/>
    <n v="4900"/>
  </r>
  <r>
    <d v="2024-04-08T00:00:00"/>
    <s v="Effort drive side human."/>
    <x v="2"/>
    <n v="616.34"/>
    <x v="0"/>
    <x v="3"/>
    <n v="2024"/>
    <n v="-616.34"/>
  </r>
  <r>
    <d v="2024-04-09T00:00:00"/>
    <s v="Clear single expect."/>
    <x v="7"/>
    <n v="431.36"/>
    <x v="0"/>
    <x v="3"/>
    <n v="2024"/>
    <n v="-431.36"/>
  </r>
  <r>
    <d v="2024-04-09T00:00:00"/>
    <s v="Fear song save."/>
    <x v="1"/>
    <n v="330.3"/>
    <x v="0"/>
    <x v="3"/>
    <n v="2024"/>
    <n v="-330.3"/>
  </r>
  <r>
    <d v="2024-04-10T00:00:00"/>
    <s v="Capital program story mention majority."/>
    <x v="9"/>
    <n v="396.71"/>
    <x v="0"/>
    <x v="3"/>
    <n v="2024"/>
    <n v="-396.71"/>
  </r>
  <r>
    <d v="2024-04-10T00:00:00"/>
    <s v="Environmental outside bed institution."/>
    <x v="3"/>
    <n v="4996"/>
    <x v="1"/>
    <x v="3"/>
    <n v="2024"/>
    <n v="4996"/>
  </r>
  <r>
    <d v="2024-04-11T00:00:00"/>
    <s v="Control piece behavior message wind."/>
    <x v="2"/>
    <n v="588.4"/>
    <x v="0"/>
    <x v="3"/>
    <n v="2024"/>
    <n v="-588.4"/>
  </r>
  <r>
    <d v="2024-04-13T00:00:00"/>
    <s v="Us money positive."/>
    <x v="3"/>
    <n v="2117"/>
    <x v="1"/>
    <x v="3"/>
    <n v="2024"/>
    <n v="2117"/>
  </r>
  <r>
    <d v="2024-04-16T00:00:00"/>
    <s v="Life bad soon."/>
    <x v="8"/>
    <n v="1903.56"/>
    <x v="0"/>
    <x v="3"/>
    <n v="2024"/>
    <n v="-1903.56"/>
  </r>
  <r>
    <d v="2024-04-17T00:00:00"/>
    <s v="Worker range feel."/>
    <x v="6"/>
    <n v="209.09"/>
    <x v="0"/>
    <x v="3"/>
    <n v="2024"/>
    <n v="-209.09"/>
  </r>
  <r>
    <d v="2024-04-17T00:00:00"/>
    <s v="Into notice necessary true message."/>
    <x v="6"/>
    <n v="642.39"/>
    <x v="0"/>
    <x v="3"/>
    <n v="2024"/>
    <n v="-642.39"/>
  </r>
  <r>
    <d v="2024-04-17T00:00:00"/>
    <s v="Including let result spend."/>
    <x v="9"/>
    <n v="1389.98"/>
    <x v="0"/>
    <x v="3"/>
    <n v="2024"/>
    <n v="-1389.98"/>
  </r>
  <r>
    <d v="2024-04-18T00:00:00"/>
    <s v="One shoulder administration."/>
    <x v="5"/>
    <n v="3091"/>
    <x v="1"/>
    <x v="3"/>
    <n v="2024"/>
    <n v="3091"/>
  </r>
  <r>
    <d v="2024-04-20T00:00:00"/>
    <s v="Skill successful and."/>
    <x v="1"/>
    <n v="19.62"/>
    <x v="0"/>
    <x v="3"/>
    <n v="2024"/>
    <n v="-19.62"/>
  </r>
  <r>
    <d v="2024-04-21T00:00:00"/>
    <s v="Finish right serious."/>
    <x v="6"/>
    <n v="1427.28"/>
    <x v="0"/>
    <x v="3"/>
    <n v="2024"/>
    <n v="-1427.28"/>
  </r>
  <r>
    <d v="2024-04-22T00:00:00"/>
    <s v="Space game truth special decision."/>
    <x v="9"/>
    <n v="1681.82"/>
    <x v="0"/>
    <x v="3"/>
    <n v="2024"/>
    <n v="-1681.82"/>
  </r>
  <r>
    <d v="2024-04-23T00:00:00"/>
    <s v="Else pull its adult house."/>
    <x v="5"/>
    <n v="4431"/>
    <x v="1"/>
    <x v="3"/>
    <n v="2024"/>
    <n v="4431"/>
  </r>
  <r>
    <d v="2024-04-25T00:00:00"/>
    <s v="Pretty least if."/>
    <x v="7"/>
    <n v="1551.79"/>
    <x v="0"/>
    <x v="3"/>
    <n v="2024"/>
    <n v="-1551.79"/>
  </r>
  <r>
    <d v="2024-04-26T00:00:00"/>
    <s v="Peace wind guess."/>
    <x v="2"/>
    <n v="359.78"/>
    <x v="0"/>
    <x v="3"/>
    <n v="2024"/>
    <n v="-359.78"/>
  </r>
  <r>
    <d v="2024-04-26T00:00:00"/>
    <s v="Because career course."/>
    <x v="9"/>
    <n v="1718.84"/>
    <x v="0"/>
    <x v="3"/>
    <n v="2024"/>
    <n v="-1718.84"/>
  </r>
  <r>
    <d v="2024-04-30T00:00:00"/>
    <s v="Teacher decide possible."/>
    <x v="3"/>
    <n v="2656"/>
    <x v="1"/>
    <x v="3"/>
    <n v="2024"/>
    <n v="2656"/>
  </r>
  <r>
    <d v="2024-05-02T00:00:00"/>
    <s v="Success teach mrs beat."/>
    <x v="2"/>
    <n v="1457.58"/>
    <x v="0"/>
    <x v="4"/>
    <n v="2024"/>
    <n v="-1457.58"/>
  </r>
  <r>
    <d v="2024-05-03T00:00:00"/>
    <s v="Listen against coach."/>
    <x v="0"/>
    <n v="1627.16"/>
    <x v="0"/>
    <x v="4"/>
    <n v="2024"/>
    <n v="-1627.16"/>
  </r>
  <r>
    <d v="2024-05-04T00:00:00"/>
    <s v="White likely teacher one."/>
    <x v="6"/>
    <n v="1813.54"/>
    <x v="0"/>
    <x v="4"/>
    <n v="2024"/>
    <n v="-1813.54"/>
  </r>
  <r>
    <d v="2024-05-04T00:00:00"/>
    <s v="Notice street anything."/>
    <x v="8"/>
    <n v="1311.28"/>
    <x v="0"/>
    <x v="4"/>
    <n v="2024"/>
    <n v="-1311.28"/>
  </r>
  <r>
    <d v="2024-05-05T00:00:00"/>
    <s v="Piece require."/>
    <x v="5"/>
    <n v="2329"/>
    <x v="1"/>
    <x v="4"/>
    <n v="2024"/>
    <n v="2329"/>
  </r>
  <r>
    <d v="2024-05-05T00:00:00"/>
    <s v="Say other never fact."/>
    <x v="9"/>
    <n v="276.42"/>
    <x v="0"/>
    <x v="4"/>
    <n v="2024"/>
    <n v="-276.42"/>
  </r>
  <r>
    <d v="2024-05-14T00:00:00"/>
    <s v="Main opportunity particularly question."/>
    <x v="2"/>
    <n v="799.6"/>
    <x v="0"/>
    <x v="4"/>
    <n v="2024"/>
    <n v="-799.6"/>
  </r>
  <r>
    <d v="2024-05-15T00:00:00"/>
    <s v="Research month instead."/>
    <x v="6"/>
    <n v="1697.48"/>
    <x v="0"/>
    <x v="4"/>
    <n v="2024"/>
    <n v="-1697.48"/>
  </r>
  <r>
    <d v="2024-05-17T00:00:00"/>
    <s v="As throughout individual list manager."/>
    <x v="1"/>
    <n v="1516.84"/>
    <x v="0"/>
    <x v="4"/>
    <n v="2024"/>
    <n v="-1516.84"/>
  </r>
  <r>
    <d v="2024-05-20T00:00:00"/>
    <s v="Recently again explain court."/>
    <x v="3"/>
    <n v="1967"/>
    <x v="1"/>
    <x v="4"/>
    <n v="2024"/>
    <n v="1967"/>
  </r>
  <r>
    <d v="2024-05-22T00:00:00"/>
    <s v="Discussion detail training fund."/>
    <x v="1"/>
    <n v="1474.48"/>
    <x v="0"/>
    <x v="4"/>
    <n v="2024"/>
    <n v="-1474.48"/>
  </r>
  <r>
    <d v="2024-05-23T00:00:00"/>
    <s v="Third rich hospital."/>
    <x v="7"/>
    <n v="90.44"/>
    <x v="0"/>
    <x v="4"/>
    <n v="2024"/>
    <n v="-90.44"/>
  </r>
  <r>
    <d v="2024-05-25T00:00:00"/>
    <s v="Somebody son suddenly perform."/>
    <x v="6"/>
    <n v="135.09"/>
    <x v="0"/>
    <x v="4"/>
    <n v="2024"/>
    <n v="-135.09"/>
  </r>
  <r>
    <d v="2024-05-26T00:00:00"/>
    <s v="Project can."/>
    <x v="0"/>
    <n v="1340.49"/>
    <x v="0"/>
    <x v="4"/>
    <n v="2024"/>
    <n v="-1340.49"/>
  </r>
  <r>
    <d v="2024-05-27T00:00:00"/>
    <s v="Paper beyond indeed."/>
    <x v="7"/>
    <n v="782.31"/>
    <x v="0"/>
    <x v="4"/>
    <n v="2024"/>
    <n v="-782.31"/>
  </r>
  <r>
    <d v="2024-05-27T00:00:00"/>
    <s v="Doctor news yourself."/>
    <x v="0"/>
    <n v="89.41"/>
    <x v="0"/>
    <x v="4"/>
    <n v="2024"/>
    <n v="-89.41"/>
  </r>
  <r>
    <d v="2024-05-31T00:00:00"/>
    <s v="Ground city still."/>
    <x v="2"/>
    <n v="1410.44"/>
    <x v="0"/>
    <x v="4"/>
    <n v="2024"/>
    <n v="-1410.44"/>
  </r>
  <r>
    <d v="2024-06-01T00:00:00"/>
    <s v="Southern front."/>
    <x v="9"/>
    <n v="1671.4"/>
    <x v="0"/>
    <x v="5"/>
    <n v="2024"/>
    <n v="-1671.4"/>
  </r>
  <r>
    <d v="2024-06-02T00:00:00"/>
    <s v="Dinner no main year size."/>
    <x v="1"/>
    <n v="759.55"/>
    <x v="0"/>
    <x v="5"/>
    <n v="2024"/>
    <n v="-759.55"/>
  </r>
  <r>
    <d v="2024-06-02T00:00:00"/>
    <s v="Environment character real middle prove."/>
    <x v="2"/>
    <n v="1038.1600000000001"/>
    <x v="0"/>
    <x v="5"/>
    <n v="2024"/>
    <n v="-1038.1600000000001"/>
  </r>
  <r>
    <d v="2024-06-03T00:00:00"/>
    <s v="Sometimes while sense window."/>
    <x v="6"/>
    <n v="1037.58"/>
    <x v="0"/>
    <x v="5"/>
    <n v="2024"/>
    <n v="-1037.58"/>
  </r>
  <r>
    <d v="2024-06-04T00:00:00"/>
    <s v="Among black picture that treat."/>
    <x v="7"/>
    <n v="978.85"/>
    <x v="0"/>
    <x v="5"/>
    <n v="2024"/>
    <n v="-978.85"/>
  </r>
  <r>
    <d v="2024-06-06T00:00:00"/>
    <s v="Remain seven marriage."/>
    <x v="0"/>
    <n v="1008.66"/>
    <x v="0"/>
    <x v="5"/>
    <n v="2024"/>
    <n v="-1008.66"/>
  </r>
  <r>
    <d v="2024-06-07T00:00:00"/>
    <s v="Positive free case."/>
    <x v="3"/>
    <n v="2384"/>
    <x v="1"/>
    <x v="5"/>
    <n v="2024"/>
    <n v="2384"/>
  </r>
  <r>
    <d v="2024-06-09T00:00:00"/>
    <s v="Wide shoulder according strong."/>
    <x v="5"/>
    <n v="2232"/>
    <x v="1"/>
    <x v="5"/>
    <n v="2024"/>
    <n v="2232"/>
  </r>
  <r>
    <d v="2024-06-10T00:00:00"/>
    <s v="Expert commercial entire resource."/>
    <x v="3"/>
    <n v="3467"/>
    <x v="1"/>
    <x v="5"/>
    <n v="2024"/>
    <n v="3467"/>
  </r>
  <r>
    <d v="2024-06-12T00:00:00"/>
    <s v="Picture early send morning."/>
    <x v="2"/>
    <n v="1325.61"/>
    <x v="0"/>
    <x v="5"/>
    <n v="2024"/>
    <n v="-1325.61"/>
  </r>
  <r>
    <d v="2024-06-13T00:00:00"/>
    <s v="Soon including important."/>
    <x v="7"/>
    <n v="1443.31"/>
    <x v="0"/>
    <x v="5"/>
    <n v="2024"/>
    <n v="-1443.31"/>
  </r>
  <r>
    <d v="2024-06-13T00:00:00"/>
    <s v="Some gun ahead certainly act."/>
    <x v="8"/>
    <n v="963.25"/>
    <x v="0"/>
    <x v="5"/>
    <n v="2024"/>
    <n v="-963.25"/>
  </r>
  <r>
    <d v="2024-06-14T00:00:00"/>
    <s v="Be fire."/>
    <x v="4"/>
    <n v="54.67"/>
    <x v="0"/>
    <x v="5"/>
    <n v="2024"/>
    <n v="-54.67"/>
  </r>
  <r>
    <d v="2024-06-15T00:00:00"/>
    <s v="Article service produce political."/>
    <x v="3"/>
    <n v="1603"/>
    <x v="1"/>
    <x v="5"/>
    <n v="2024"/>
    <n v="1603"/>
  </r>
  <r>
    <d v="2024-06-16T00:00:00"/>
    <s v="Within woman."/>
    <x v="0"/>
    <n v="1782.69"/>
    <x v="0"/>
    <x v="5"/>
    <n v="2024"/>
    <n v="-1782.69"/>
  </r>
  <r>
    <d v="2024-06-17T00:00:00"/>
    <s v="Information though red."/>
    <x v="3"/>
    <n v="2615"/>
    <x v="1"/>
    <x v="5"/>
    <n v="2024"/>
    <n v="2615"/>
  </r>
  <r>
    <d v="2024-06-21T00:00:00"/>
    <s v="Training account evidence month."/>
    <x v="4"/>
    <n v="1202.72"/>
    <x v="0"/>
    <x v="5"/>
    <n v="2024"/>
    <n v="-1202.72"/>
  </r>
  <r>
    <d v="2024-06-21T00:00:00"/>
    <s v="Land day name small."/>
    <x v="0"/>
    <n v="1758.23"/>
    <x v="0"/>
    <x v="5"/>
    <n v="2024"/>
    <n v="-1758.23"/>
  </r>
  <r>
    <d v="2024-06-22T00:00:00"/>
    <s v="Thought sit identify culture."/>
    <x v="9"/>
    <n v="1895.04"/>
    <x v="0"/>
    <x v="5"/>
    <n v="2024"/>
    <n v="-1895.04"/>
  </r>
  <r>
    <d v="2024-06-23T00:00:00"/>
    <s v="Already free."/>
    <x v="8"/>
    <n v="1735.93"/>
    <x v="0"/>
    <x v="5"/>
    <n v="2024"/>
    <n v="-1735.93"/>
  </r>
  <r>
    <d v="2024-06-23T00:00:00"/>
    <s v="Yeah exist behavior necessary miss."/>
    <x v="5"/>
    <n v="1669"/>
    <x v="1"/>
    <x v="5"/>
    <n v="2024"/>
    <n v="1669"/>
  </r>
  <r>
    <d v="2024-06-23T00:00:00"/>
    <s v="Agreement someone."/>
    <x v="1"/>
    <n v="1250.19"/>
    <x v="0"/>
    <x v="5"/>
    <n v="2024"/>
    <n v="-1250.19"/>
  </r>
  <r>
    <d v="2024-06-23T00:00:00"/>
    <s v="Strategy fight institution."/>
    <x v="1"/>
    <n v="1451.13"/>
    <x v="0"/>
    <x v="5"/>
    <n v="2024"/>
    <n v="-1451.13"/>
  </r>
  <r>
    <d v="2024-06-23T00:00:00"/>
    <s v="Rule success."/>
    <x v="8"/>
    <n v="1197.0999999999999"/>
    <x v="0"/>
    <x v="5"/>
    <n v="2024"/>
    <n v="-1197.0999999999999"/>
  </r>
  <r>
    <d v="2024-07-01T00:00:00"/>
    <s v="Medical buy series walk large."/>
    <x v="5"/>
    <n v="3657"/>
    <x v="1"/>
    <x v="6"/>
    <n v="2024"/>
    <n v="3657"/>
  </r>
  <r>
    <d v="2024-07-05T00:00:00"/>
    <s v="Law work."/>
    <x v="3"/>
    <n v="2157"/>
    <x v="1"/>
    <x v="6"/>
    <n v="2024"/>
    <n v="2157"/>
  </r>
  <r>
    <d v="2024-07-06T00:00:00"/>
    <s v="Research visit program suddenly doctor."/>
    <x v="4"/>
    <n v="1654.76"/>
    <x v="0"/>
    <x v="6"/>
    <n v="2024"/>
    <n v="-1654.76"/>
  </r>
  <r>
    <d v="2024-07-07T00:00:00"/>
    <s v="Project spring of."/>
    <x v="1"/>
    <n v="956.98"/>
    <x v="0"/>
    <x v="6"/>
    <n v="2024"/>
    <n v="-956.98"/>
  </r>
  <r>
    <d v="2024-07-07T00:00:00"/>
    <s v="Mind easy foreign old."/>
    <x v="0"/>
    <n v="1756.73"/>
    <x v="0"/>
    <x v="6"/>
    <n v="2024"/>
    <n v="-1756.73"/>
  </r>
  <r>
    <d v="2024-07-07T00:00:00"/>
    <s v="Better republican stock bank."/>
    <x v="2"/>
    <n v="195.45"/>
    <x v="0"/>
    <x v="6"/>
    <n v="2024"/>
    <n v="-195.45"/>
  </r>
  <r>
    <d v="2024-07-07T00:00:00"/>
    <s v="Thousand live land hard."/>
    <x v="0"/>
    <n v="1794.97"/>
    <x v="0"/>
    <x v="6"/>
    <n v="2024"/>
    <n v="-1794.97"/>
  </r>
  <r>
    <d v="2024-07-13T00:00:00"/>
    <s v="Open million house enough."/>
    <x v="4"/>
    <n v="1048.8699999999999"/>
    <x v="0"/>
    <x v="6"/>
    <n v="2024"/>
    <n v="-1048.8699999999999"/>
  </r>
  <r>
    <d v="2024-07-13T00:00:00"/>
    <s v="You ready way rule."/>
    <x v="0"/>
    <n v="1398.31"/>
    <x v="0"/>
    <x v="6"/>
    <n v="2024"/>
    <n v="-1398.31"/>
  </r>
  <r>
    <d v="2024-07-16T00:00:00"/>
    <s v="Certain camera represent."/>
    <x v="8"/>
    <n v="1581.22"/>
    <x v="0"/>
    <x v="6"/>
    <n v="2024"/>
    <n v="-1581.22"/>
  </r>
  <r>
    <d v="2024-07-20T00:00:00"/>
    <s v="Tell brother defense list second."/>
    <x v="2"/>
    <n v="856.72"/>
    <x v="0"/>
    <x v="6"/>
    <n v="2024"/>
    <n v="-856.72"/>
  </r>
  <r>
    <d v="2024-07-21T00:00:00"/>
    <s v="Tv budget system book."/>
    <x v="6"/>
    <n v="1821.07"/>
    <x v="0"/>
    <x v="6"/>
    <n v="2024"/>
    <n v="-1821.07"/>
  </r>
  <r>
    <d v="2024-07-22T00:00:00"/>
    <s v="Face mission brother figure hear."/>
    <x v="5"/>
    <n v="2611"/>
    <x v="1"/>
    <x v="6"/>
    <n v="2024"/>
    <n v="2611"/>
  </r>
  <r>
    <d v="2024-07-23T00:00:00"/>
    <s v="Agreement central six instead."/>
    <x v="3"/>
    <n v="4780"/>
    <x v="1"/>
    <x v="6"/>
    <n v="2024"/>
    <n v="4780"/>
  </r>
  <r>
    <d v="2024-07-23T00:00:00"/>
    <s v="Democratic standard major."/>
    <x v="3"/>
    <n v="3572"/>
    <x v="1"/>
    <x v="6"/>
    <n v="2024"/>
    <n v="3572"/>
  </r>
  <r>
    <d v="2024-07-25T00:00:00"/>
    <s v="Give that individual of not."/>
    <x v="7"/>
    <n v="823.6"/>
    <x v="0"/>
    <x v="6"/>
    <n v="2024"/>
    <n v="-823.6"/>
  </r>
  <r>
    <d v="2024-07-26T00:00:00"/>
    <s v="Little result paper seven."/>
    <x v="5"/>
    <n v="2577"/>
    <x v="1"/>
    <x v="6"/>
    <n v="2024"/>
    <n v="2577"/>
  </r>
  <r>
    <d v="2024-07-26T00:00:00"/>
    <s v="Seven project chance road."/>
    <x v="4"/>
    <n v="1133.69"/>
    <x v="0"/>
    <x v="6"/>
    <n v="2024"/>
    <n v="-1133.69"/>
  </r>
  <r>
    <d v="2024-07-26T00:00:00"/>
    <s v="Professor important do house must."/>
    <x v="4"/>
    <n v="1512.39"/>
    <x v="0"/>
    <x v="6"/>
    <n v="2024"/>
    <n v="-1512.39"/>
  </r>
  <r>
    <d v="2024-07-26T00:00:00"/>
    <s v="Position tend religious."/>
    <x v="8"/>
    <n v="365.65"/>
    <x v="0"/>
    <x v="6"/>
    <n v="2024"/>
    <n v="-365.65"/>
  </r>
  <r>
    <d v="2024-07-27T00:00:00"/>
    <s v="Someone religious night buy nice."/>
    <x v="8"/>
    <n v="515.02"/>
    <x v="0"/>
    <x v="6"/>
    <n v="2024"/>
    <n v="-515.02"/>
  </r>
  <r>
    <d v="2024-07-27T00:00:00"/>
    <s v="My serious whatever miss seek."/>
    <x v="7"/>
    <n v="1550.65"/>
    <x v="0"/>
    <x v="6"/>
    <n v="2024"/>
    <n v="-1550.65"/>
  </r>
  <r>
    <d v="2024-07-27T00:00:00"/>
    <s v="Build view."/>
    <x v="1"/>
    <n v="1711.45"/>
    <x v="0"/>
    <x v="6"/>
    <n v="2024"/>
    <n v="-1711.45"/>
  </r>
  <r>
    <d v="2024-07-28T00:00:00"/>
    <s v="Ever day."/>
    <x v="6"/>
    <n v="898.72"/>
    <x v="0"/>
    <x v="6"/>
    <n v="2024"/>
    <n v="-898.72"/>
  </r>
  <r>
    <d v="2024-07-28T00:00:00"/>
    <s v="Be move fly open."/>
    <x v="1"/>
    <n v="209.55"/>
    <x v="0"/>
    <x v="6"/>
    <n v="2024"/>
    <n v="-209.55"/>
  </r>
  <r>
    <d v="2024-07-29T00:00:00"/>
    <s v="Future congress."/>
    <x v="7"/>
    <n v="1603.7"/>
    <x v="0"/>
    <x v="6"/>
    <n v="2024"/>
    <n v="-1603.7"/>
  </r>
  <r>
    <d v="2024-07-29T00:00:00"/>
    <s v="Fish either boy between collection."/>
    <x v="0"/>
    <n v="329.87"/>
    <x v="0"/>
    <x v="6"/>
    <n v="2024"/>
    <n v="-329.87"/>
  </r>
  <r>
    <d v="2024-07-29T00:00:00"/>
    <s v="Eight bed fill."/>
    <x v="0"/>
    <n v="1610.7"/>
    <x v="0"/>
    <x v="6"/>
    <n v="2024"/>
    <n v="-1610.7"/>
  </r>
  <r>
    <d v="2024-07-30T00:00:00"/>
    <s v="Arrive which consider."/>
    <x v="8"/>
    <n v="1852.46"/>
    <x v="0"/>
    <x v="6"/>
    <n v="2024"/>
    <n v="-1852.46"/>
  </r>
  <r>
    <d v="2024-07-30T00:00:00"/>
    <s v="Hope floor include."/>
    <x v="2"/>
    <n v="533.54999999999995"/>
    <x v="0"/>
    <x v="6"/>
    <n v="2024"/>
    <n v="-533.54999999999995"/>
  </r>
  <r>
    <d v="2024-08-01T00:00:00"/>
    <s v="Heart still building."/>
    <x v="0"/>
    <n v="1451.74"/>
    <x v="0"/>
    <x v="7"/>
    <n v="2024"/>
    <n v="-1451.74"/>
  </r>
  <r>
    <d v="2024-08-02T00:00:00"/>
    <s v="Sell only manage."/>
    <x v="4"/>
    <n v="1231.79"/>
    <x v="0"/>
    <x v="7"/>
    <n v="2024"/>
    <n v="-1231.79"/>
  </r>
  <r>
    <d v="2024-08-02T00:00:00"/>
    <s v="We especially five network."/>
    <x v="0"/>
    <n v="1891.97"/>
    <x v="0"/>
    <x v="7"/>
    <n v="2024"/>
    <n v="-1891.97"/>
  </r>
  <r>
    <d v="2024-08-03T00:00:00"/>
    <s v="Ahead plant trial affect."/>
    <x v="8"/>
    <n v="883.55"/>
    <x v="0"/>
    <x v="7"/>
    <n v="2024"/>
    <n v="-883.55"/>
  </r>
  <r>
    <d v="2024-08-03T00:00:00"/>
    <s v="Push east never size fight."/>
    <x v="9"/>
    <n v="397.55"/>
    <x v="0"/>
    <x v="7"/>
    <n v="2024"/>
    <n v="-397.55"/>
  </r>
  <r>
    <d v="2024-08-08T00:00:00"/>
    <s v="Base player data whose."/>
    <x v="6"/>
    <n v="1234.23"/>
    <x v="0"/>
    <x v="7"/>
    <n v="2024"/>
    <n v="-1234.23"/>
  </r>
  <r>
    <d v="2024-08-09T00:00:00"/>
    <s v="World site mr interest treatment."/>
    <x v="7"/>
    <n v="486.12"/>
    <x v="0"/>
    <x v="7"/>
    <n v="2024"/>
    <n v="-486.12"/>
  </r>
  <r>
    <d v="2024-08-11T00:00:00"/>
    <s v="A let."/>
    <x v="3"/>
    <n v="1211"/>
    <x v="1"/>
    <x v="7"/>
    <n v="2024"/>
    <n v="1211"/>
  </r>
  <r>
    <d v="2024-08-14T00:00:00"/>
    <s v="A value lot."/>
    <x v="4"/>
    <n v="712.72"/>
    <x v="0"/>
    <x v="7"/>
    <n v="2024"/>
    <n v="-712.72"/>
  </r>
  <r>
    <d v="2024-08-14T00:00:00"/>
    <s v="Yourself successful defense subject."/>
    <x v="6"/>
    <n v="1040.31"/>
    <x v="0"/>
    <x v="7"/>
    <n v="2024"/>
    <n v="-1040.31"/>
  </r>
  <r>
    <d v="2024-08-14T00:00:00"/>
    <s v="Claim move."/>
    <x v="2"/>
    <n v="1839.16"/>
    <x v="0"/>
    <x v="7"/>
    <n v="2024"/>
    <n v="-1839.16"/>
  </r>
  <r>
    <d v="2024-08-15T00:00:00"/>
    <s v="Bed recognize store."/>
    <x v="7"/>
    <n v="701.48"/>
    <x v="0"/>
    <x v="7"/>
    <n v="2024"/>
    <n v="-701.48"/>
  </r>
  <r>
    <d v="2024-08-22T00:00:00"/>
    <s v="There decision measure."/>
    <x v="6"/>
    <n v="1216.6600000000001"/>
    <x v="0"/>
    <x v="7"/>
    <n v="2024"/>
    <n v="-1216.6600000000001"/>
  </r>
  <r>
    <d v="2024-08-23T00:00:00"/>
    <s v="Play woman remain event."/>
    <x v="5"/>
    <n v="538"/>
    <x v="1"/>
    <x v="7"/>
    <n v="2024"/>
    <n v="538"/>
  </r>
  <r>
    <d v="2024-08-25T00:00:00"/>
    <s v="Decision where foreign trial."/>
    <x v="4"/>
    <n v="1017.41"/>
    <x v="0"/>
    <x v="7"/>
    <n v="2024"/>
    <n v="-1017.41"/>
  </r>
  <r>
    <d v="2024-08-25T00:00:00"/>
    <s v="Participant above."/>
    <x v="9"/>
    <n v="686.53"/>
    <x v="0"/>
    <x v="7"/>
    <n v="2024"/>
    <n v="-686.53"/>
  </r>
  <r>
    <d v="2024-08-25T00:00:00"/>
    <s v="Including time reflect."/>
    <x v="5"/>
    <n v="4906"/>
    <x v="1"/>
    <x v="7"/>
    <n v="2024"/>
    <n v="4906"/>
  </r>
  <r>
    <d v="2024-08-27T00:00:00"/>
    <s v="Ball theory prepare much throughout."/>
    <x v="9"/>
    <n v="1391.44"/>
    <x v="0"/>
    <x v="7"/>
    <n v="2024"/>
    <n v="-1391.44"/>
  </r>
  <r>
    <d v="2024-08-27T00:00:00"/>
    <s v="Good spend still."/>
    <x v="8"/>
    <n v="1542.23"/>
    <x v="0"/>
    <x v="7"/>
    <n v="2024"/>
    <n v="-1542.23"/>
  </r>
  <r>
    <d v="2024-08-28T00:00:00"/>
    <s v="Concern should recent across."/>
    <x v="8"/>
    <n v="1366.37"/>
    <x v="0"/>
    <x v="7"/>
    <n v="2024"/>
    <n v="-1366.37"/>
  </r>
  <r>
    <d v="2024-08-28T00:00:00"/>
    <s v="View know develop after."/>
    <x v="0"/>
    <n v="969.12"/>
    <x v="0"/>
    <x v="7"/>
    <n v="2024"/>
    <n v="-969.12"/>
  </r>
  <r>
    <d v="2024-08-28T00:00:00"/>
    <s v="Course staff personal space."/>
    <x v="4"/>
    <n v="1270.99"/>
    <x v="0"/>
    <x v="7"/>
    <n v="2024"/>
    <n v="-1270.99"/>
  </r>
  <r>
    <d v="2024-08-30T00:00:00"/>
    <s v="Woman whose already."/>
    <x v="6"/>
    <n v="1602.32"/>
    <x v="0"/>
    <x v="7"/>
    <n v="2024"/>
    <n v="-1602.32"/>
  </r>
  <r>
    <d v="2024-09-01T00:00:00"/>
    <s v="Decide cultural start how thank."/>
    <x v="7"/>
    <n v="1037.8399999999999"/>
    <x v="0"/>
    <x v="8"/>
    <n v="2024"/>
    <n v="-1037.8399999999999"/>
  </r>
  <r>
    <d v="2024-09-02T00:00:00"/>
    <s v="Management necessary process not."/>
    <x v="5"/>
    <n v="2533"/>
    <x v="1"/>
    <x v="8"/>
    <n v="2024"/>
    <n v="2533"/>
  </r>
  <r>
    <d v="2024-09-05T00:00:00"/>
    <s v="Assume campaign assume."/>
    <x v="4"/>
    <n v="1350.66"/>
    <x v="0"/>
    <x v="8"/>
    <n v="2024"/>
    <n v="-1350.66"/>
  </r>
  <r>
    <d v="2024-09-05T00:00:00"/>
    <s v="Talk thing rock ever summer."/>
    <x v="2"/>
    <n v="1113.56"/>
    <x v="0"/>
    <x v="8"/>
    <n v="2024"/>
    <n v="-1113.56"/>
  </r>
  <r>
    <d v="2024-09-05T00:00:00"/>
    <s v="Pass quite third ability interview."/>
    <x v="5"/>
    <n v="3396"/>
    <x v="1"/>
    <x v="8"/>
    <n v="2024"/>
    <n v="3396"/>
  </r>
  <r>
    <d v="2024-09-05T00:00:00"/>
    <s v="Item yet ever quite."/>
    <x v="9"/>
    <n v="373.74"/>
    <x v="0"/>
    <x v="8"/>
    <n v="2024"/>
    <n v="-373.74"/>
  </r>
  <r>
    <d v="2024-09-06T00:00:00"/>
    <s v="Guess service this different."/>
    <x v="6"/>
    <n v="1003.01"/>
    <x v="0"/>
    <x v="8"/>
    <n v="2024"/>
    <n v="-1003.01"/>
  </r>
  <r>
    <d v="2024-09-07T00:00:00"/>
    <s v="Mother first hot free."/>
    <x v="3"/>
    <n v="2674"/>
    <x v="1"/>
    <x v="8"/>
    <n v="2024"/>
    <n v="2674"/>
  </r>
  <r>
    <d v="2024-09-08T00:00:00"/>
    <s v="Wrong difficult."/>
    <x v="6"/>
    <n v="1671.53"/>
    <x v="0"/>
    <x v="8"/>
    <n v="2024"/>
    <n v="-1671.53"/>
  </r>
  <r>
    <d v="2024-09-10T00:00:00"/>
    <s v="True culture."/>
    <x v="7"/>
    <n v="320.43"/>
    <x v="0"/>
    <x v="8"/>
    <n v="2024"/>
    <n v="-320.43"/>
  </r>
  <r>
    <d v="2024-09-13T00:00:00"/>
    <s v="As personal agreement."/>
    <x v="3"/>
    <n v="4535"/>
    <x v="1"/>
    <x v="8"/>
    <n v="2024"/>
    <n v="4535"/>
  </r>
  <r>
    <d v="2024-09-15T00:00:00"/>
    <s v="Or phone."/>
    <x v="0"/>
    <n v="1697.54"/>
    <x v="0"/>
    <x v="8"/>
    <n v="2024"/>
    <n v="-1697.54"/>
  </r>
  <r>
    <d v="2024-09-16T00:00:00"/>
    <s v="East list when."/>
    <x v="7"/>
    <n v="989.76"/>
    <x v="0"/>
    <x v="8"/>
    <n v="2024"/>
    <n v="-989.76"/>
  </r>
  <r>
    <d v="2024-09-17T00:00:00"/>
    <s v="Mind door authority outside."/>
    <x v="9"/>
    <n v="986.7"/>
    <x v="0"/>
    <x v="8"/>
    <n v="2024"/>
    <n v="-986.7"/>
  </r>
  <r>
    <d v="2024-09-17T00:00:00"/>
    <s v="Personal often."/>
    <x v="9"/>
    <n v="801.78"/>
    <x v="0"/>
    <x v="8"/>
    <n v="2024"/>
    <n v="-801.78"/>
  </r>
  <r>
    <d v="2024-09-17T00:00:00"/>
    <s v="True help."/>
    <x v="1"/>
    <n v="117.75"/>
    <x v="0"/>
    <x v="8"/>
    <n v="2024"/>
    <n v="-117.75"/>
  </r>
  <r>
    <d v="2024-09-18T00:00:00"/>
    <s v="Artist sort area."/>
    <x v="8"/>
    <n v="1879.91"/>
    <x v="0"/>
    <x v="8"/>
    <n v="2024"/>
    <n v="-1879.91"/>
  </r>
  <r>
    <d v="2024-09-21T00:00:00"/>
    <s v="Big argue."/>
    <x v="5"/>
    <n v="3725"/>
    <x v="1"/>
    <x v="8"/>
    <n v="2024"/>
    <n v="3725"/>
  </r>
  <r>
    <d v="2024-09-22T00:00:00"/>
    <s v="Sure i pay."/>
    <x v="1"/>
    <n v="919.82"/>
    <x v="0"/>
    <x v="8"/>
    <n v="2024"/>
    <n v="-919.82"/>
  </r>
  <r>
    <d v="2024-09-23T00:00:00"/>
    <s v="Ten skin perhaps."/>
    <x v="5"/>
    <n v="3085"/>
    <x v="1"/>
    <x v="8"/>
    <n v="2024"/>
    <n v="3085"/>
  </r>
  <r>
    <d v="2024-09-24T00:00:00"/>
    <s v="Less into per big."/>
    <x v="0"/>
    <n v="1351.47"/>
    <x v="0"/>
    <x v="8"/>
    <n v="2024"/>
    <n v="-1351.47"/>
  </r>
  <r>
    <d v="2024-09-25T00:00:00"/>
    <s v="Military onto blue activity."/>
    <x v="2"/>
    <n v="657.62"/>
    <x v="0"/>
    <x v="8"/>
    <n v="2024"/>
    <n v="-657.62"/>
  </r>
  <r>
    <d v="2024-09-26T00:00:00"/>
    <s v="Smile cover of pm eight."/>
    <x v="9"/>
    <n v="382.43"/>
    <x v="0"/>
    <x v="8"/>
    <n v="2024"/>
    <n v="-382.43"/>
  </r>
  <r>
    <d v="2024-09-26T00:00:00"/>
    <s v="Right know during someone."/>
    <x v="9"/>
    <n v="947.98"/>
    <x v="0"/>
    <x v="8"/>
    <n v="2024"/>
    <n v="-947.98"/>
  </r>
  <r>
    <d v="2024-09-27T00:00:00"/>
    <s v="Find job where."/>
    <x v="7"/>
    <n v="375.99"/>
    <x v="0"/>
    <x v="8"/>
    <n v="2024"/>
    <n v="-375.99"/>
  </r>
  <r>
    <d v="2024-09-27T00:00:00"/>
    <s v="On must certainly."/>
    <x v="4"/>
    <n v="1404.42"/>
    <x v="0"/>
    <x v="8"/>
    <n v="2024"/>
    <n v="-1404.42"/>
  </r>
  <r>
    <d v="2024-10-01T00:00:00"/>
    <s v="Owner fact wife."/>
    <x v="4"/>
    <n v="566.46"/>
    <x v="0"/>
    <x v="9"/>
    <n v="2024"/>
    <n v="-566.46"/>
  </r>
  <r>
    <d v="2024-10-01T00:00:00"/>
    <s v="Price certain down standard nice."/>
    <x v="3"/>
    <n v="2372"/>
    <x v="1"/>
    <x v="9"/>
    <n v="2024"/>
    <n v="2372"/>
  </r>
  <r>
    <d v="2024-10-02T00:00:00"/>
    <s v="Gas with policy cut."/>
    <x v="9"/>
    <n v="1610.13"/>
    <x v="0"/>
    <x v="9"/>
    <n v="2024"/>
    <n v="-1610.13"/>
  </r>
  <r>
    <d v="2024-10-02T00:00:00"/>
    <s v="Country little reality level."/>
    <x v="4"/>
    <n v="400.17"/>
    <x v="0"/>
    <x v="9"/>
    <n v="2024"/>
    <n v="-400.17"/>
  </r>
  <r>
    <d v="2024-10-03T00:00:00"/>
    <s v="Not friend federal forget bit."/>
    <x v="1"/>
    <n v="951.24"/>
    <x v="0"/>
    <x v="9"/>
    <n v="2024"/>
    <n v="-951.24"/>
  </r>
  <r>
    <d v="2024-10-04T00:00:00"/>
    <s v="Detail about development discover."/>
    <x v="5"/>
    <n v="4592"/>
    <x v="1"/>
    <x v="9"/>
    <n v="2024"/>
    <n v="4592"/>
  </r>
  <r>
    <d v="2024-10-04T00:00:00"/>
    <s v="Lose shoulder spring."/>
    <x v="5"/>
    <n v="4486"/>
    <x v="1"/>
    <x v="9"/>
    <n v="2024"/>
    <n v="4486"/>
  </r>
  <r>
    <d v="2024-10-07T00:00:00"/>
    <s v="Hundred step according."/>
    <x v="0"/>
    <n v="802.82"/>
    <x v="0"/>
    <x v="9"/>
    <n v="2024"/>
    <n v="-802.82"/>
  </r>
  <r>
    <d v="2024-10-08T00:00:00"/>
    <s v="Group never."/>
    <x v="0"/>
    <n v="438.78"/>
    <x v="0"/>
    <x v="9"/>
    <n v="2024"/>
    <n v="-438.78"/>
  </r>
  <r>
    <d v="2024-10-09T00:00:00"/>
    <s v="Key place tree."/>
    <x v="2"/>
    <n v="905.21"/>
    <x v="0"/>
    <x v="9"/>
    <n v="2024"/>
    <n v="-905.21"/>
  </r>
  <r>
    <d v="2024-10-10T00:00:00"/>
    <s v="Wish current."/>
    <x v="7"/>
    <n v="727.01"/>
    <x v="0"/>
    <x v="9"/>
    <n v="2024"/>
    <n v="-727.01"/>
  </r>
  <r>
    <d v="2024-10-10T00:00:00"/>
    <s v="Despite energy company."/>
    <x v="9"/>
    <n v="694.84"/>
    <x v="0"/>
    <x v="9"/>
    <n v="2024"/>
    <n v="-694.84"/>
  </r>
  <r>
    <d v="2024-10-11T00:00:00"/>
    <s v="Condition again successful."/>
    <x v="7"/>
    <n v="1736.06"/>
    <x v="0"/>
    <x v="9"/>
    <n v="2024"/>
    <n v="-1736.06"/>
  </r>
  <r>
    <d v="2024-10-12T00:00:00"/>
    <s v="Story case."/>
    <x v="6"/>
    <n v="1157.94"/>
    <x v="0"/>
    <x v="9"/>
    <n v="2024"/>
    <n v="-1157.94"/>
  </r>
  <r>
    <d v="2024-10-15T00:00:00"/>
    <s v="Very figure drive special."/>
    <x v="1"/>
    <n v="1958.95"/>
    <x v="0"/>
    <x v="9"/>
    <n v="2024"/>
    <n v="-1958.95"/>
  </r>
  <r>
    <d v="2024-10-17T00:00:00"/>
    <s v="With young think there assume."/>
    <x v="7"/>
    <n v="1349.65"/>
    <x v="0"/>
    <x v="9"/>
    <n v="2024"/>
    <n v="-1349.65"/>
  </r>
  <r>
    <d v="2024-10-17T00:00:00"/>
    <s v="Some court her."/>
    <x v="8"/>
    <n v="1780.37"/>
    <x v="0"/>
    <x v="9"/>
    <n v="2024"/>
    <n v="-1780.37"/>
  </r>
  <r>
    <d v="2024-10-18T00:00:00"/>
    <s v="Outside with each animal."/>
    <x v="9"/>
    <n v="932.87"/>
    <x v="0"/>
    <x v="9"/>
    <n v="2024"/>
    <n v="-932.87"/>
  </r>
  <r>
    <d v="2024-10-19T00:00:00"/>
    <s v="Take family chance."/>
    <x v="1"/>
    <n v="1284.76"/>
    <x v="0"/>
    <x v="9"/>
    <n v="2024"/>
    <n v="-1284.76"/>
  </r>
  <r>
    <d v="2024-10-19T00:00:00"/>
    <s v="Picture evidence."/>
    <x v="4"/>
    <n v="1266.23"/>
    <x v="0"/>
    <x v="9"/>
    <n v="2024"/>
    <n v="-1266.23"/>
  </r>
  <r>
    <d v="2024-10-21T00:00:00"/>
    <s v="Why though decide bank likely."/>
    <x v="2"/>
    <n v="167.43"/>
    <x v="0"/>
    <x v="9"/>
    <n v="2024"/>
    <n v="-167.43"/>
  </r>
  <r>
    <d v="2024-10-21T00:00:00"/>
    <s v="Meet seem population."/>
    <x v="7"/>
    <n v="640.59"/>
    <x v="0"/>
    <x v="9"/>
    <n v="2024"/>
    <n v="-640.59"/>
  </r>
  <r>
    <d v="2024-10-21T00:00:00"/>
    <s v="Material less focus hear."/>
    <x v="9"/>
    <n v="1214.72"/>
    <x v="0"/>
    <x v="9"/>
    <n v="2024"/>
    <n v="-1214.72"/>
  </r>
  <r>
    <d v="2024-10-23T00:00:00"/>
    <s v="Listen ok point so."/>
    <x v="8"/>
    <n v="1564.14"/>
    <x v="0"/>
    <x v="9"/>
    <n v="2024"/>
    <n v="-1564.14"/>
  </r>
  <r>
    <d v="2024-10-24T00:00:00"/>
    <s v="Detail data tell."/>
    <x v="8"/>
    <n v="833.84"/>
    <x v="0"/>
    <x v="9"/>
    <n v="2024"/>
    <n v="-833.84"/>
  </r>
  <r>
    <d v="2024-10-28T00:00:00"/>
    <s v="Fill thousand number."/>
    <x v="3"/>
    <n v="1524"/>
    <x v="1"/>
    <x v="9"/>
    <n v="2024"/>
    <n v="1524"/>
  </r>
  <r>
    <d v="2024-11-01T00:00:00"/>
    <s v="Nearly care base."/>
    <x v="9"/>
    <n v="1881.47"/>
    <x v="0"/>
    <x v="10"/>
    <n v="2024"/>
    <n v="-1881.47"/>
  </r>
  <r>
    <d v="2024-11-02T00:00:00"/>
    <s v="Goal once let perform international."/>
    <x v="2"/>
    <n v="429.04"/>
    <x v="0"/>
    <x v="10"/>
    <n v="2024"/>
    <n v="-429.04"/>
  </r>
  <r>
    <d v="2024-11-03T00:00:00"/>
    <s v="Important source first him."/>
    <x v="2"/>
    <n v="136.94999999999999"/>
    <x v="0"/>
    <x v="10"/>
    <n v="2024"/>
    <n v="-136.94999999999999"/>
  </r>
  <r>
    <d v="2024-11-03T00:00:00"/>
    <s v="Doctor population grow bar."/>
    <x v="0"/>
    <n v="62.47"/>
    <x v="0"/>
    <x v="10"/>
    <n v="2024"/>
    <n v="-62.47"/>
  </r>
  <r>
    <d v="2024-11-11T00:00:00"/>
    <s v="National back everybody direction budget."/>
    <x v="2"/>
    <n v="216.82"/>
    <x v="0"/>
    <x v="10"/>
    <n v="2024"/>
    <n v="-216.82"/>
  </r>
  <r>
    <d v="2024-11-11T00:00:00"/>
    <s v="National free."/>
    <x v="2"/>
    <n v="1313.12"/>
    <x v="0"/>
    <x v="10"/>
    <n v="2024"/>
    <n v="-1313.12"/>
  </r>
  <r>
    <d v="2024-11-12T00:00:00"/>
    <s v="Few spring raise."/>
    <x v="9"/>
    <n v="466.42"/>
    <x v="0"/>
    <x v="10"/>
    <n v="2024"/>
    <n v="-466.42"/>
  </r>
  <r>
    <d v="2024-11-13T00:00:00"/>
    <s v="Relationship your your."/>
    <x v="8"/>
    <n v="1256.7"/>
    <x v="0"/>
    <x v="10"/>
    <n v="2024"/>
    <n v="-1256.7"/>
  </r>
  <r>
    <d v="2024-11-13T00:00:00"/>
    <s v="Across federal state."/>
    <x v="3"/>
    <n v="734"/>
    <x v="1"/>
    <x v="10"/>
    <n v="2024"/>
    <n v="734"/>
  </r>
  <r>
    <d v="2024-11-13T00:00:00"/>
    <s v="State serious activity pressure."/>
    <x v="5"/>
    <n v="3164"/>
    <x v="1"/>
    <x v="10"/>
    <n v="2024"/>
    <n v="3164"/>
  </r>
  <r>
    <d v="2024-11-13T00:00:00"/>
    <s v="Dinner rich decide do."/>
    <x v="8"/>
    <n v="1950.21"/>
    <x v="0"/>
    <x v="10"/>
    <n v="2024"/>
    <n v="-1950.21"/>
  </r>
  <r>
    <d v="2024-11-14T00:00:00"/>
    <s v="Serious reveal left social fine."/>
    <x v="9"/>
    <n v="1101.6099999999999"/>
    <x v="0"/>
    <x v="10"/>
    <n v="2024"/>
    <n v="-1101.6099999999999"/>
  </r>
  <r>
    <d v="2024-11-14T00:00:00"/>
    <s v="Show recently decide last."/>
    <x v="3"/>
    <n v="4240"/>
    <x v="1"/>
    <x v="10"/>
    <n v="2024"/>
    <n v="4240"/>
  </r>
  <r>
    <d v="2024-11-16T00:00:00"/>
    <s v="Hear officer."/>
    <x v="4"/>
    <n v="1051.69"/>
    <x v="0"/>
    <x v="10"/>
    <n v="2024"/>
    <n v="-1051.69"/>
  </r>
  <r>
    <d v="2024-11-17T00:00:00"/>
    <s v="Wall act special."/>
    <x v="9"/>
    <n v="1818.76"/>
    <x v="0"/>
    <x v="10"/>
    <n v="2024"/>
    <n v="-1818.76"/>
  </r>
  <r>
    <d v="2024-11-17T00:00:00"/>
    <s v="Different international sell several."/>
    <x v="6"/>
    <n v="1611.37"/>
    <x v="0"/>
    <x v="10"/>
    <n v="2024"/>
    <n v="-1611.37"/>
  </r>
  <r>
    <d v="2024-11-17T00:00:00"/>
    <s v="For age size."/>
    <x v="7"/>
    <n v="830.29"/>
    <x v="0"/>
    <x v="10"/>
    <n v="2024"/>
    <n v="-830.29"/>
  </r>
  <r>
    <d v="2024-11-17T00:00:00"/>
    <s v="With yes nothing."/>
    <x v="3"/>
    <n v="500"/>
    <x v="1"/>
    <x v="10"/>
    <n v="2024"/>
    <n v="500"/>
  </r>
  <r>
    <d v="2024-11-18T00:00:00"/>
    <s v="Woman daughter hospital move."/>
    <x v="1"/>
    <n v="694.33"/>
    <x v="0"/>
    <x v="10"/>
    <n v="2024"/>
    <n v="-694.33"/>
  </r>
  <r>
    <d v="2024-11-18T00:00:00"/>
    <s v="Board notice later thus."/>
    <x v="0"/>
    <n v="1378.66"/>
    <x v="0"/>
    <x v="10"/>
    <n v="2024"/>
    <n v="-1378.66"/>
  </r>
  <r>
    <d v="2024-11-19T00:00:00"/>
    <s v="Bit need allow."/>
    <x v="8"/>
    <n v="606.22"/>
    <x v="0"/>
    <x v="10"/>
    <n v="2024"/>
    <n v="-606.22"/>
  </r>
  <r>
    <d v="2024-11-20T00:00:00"/>
    <s v="Cost attorney."/>
    <x v="9"/>
    <n v="1198.04"/>
    <x v="0"/>
    <x v="10"/>
    <n v="2024"/>
    <n v="-1198.04"/>
  </r>
  <r>
    <d v="2024-11-20T00:00:00"/>
    <s v="Day fact modern."/>
    <x v="7"/>
    <n v="385.26"/>
    <x v="0"/>
    <x v="10"/>
    <n v="2024"/>
    <n v="-385.26"/>
  </r>
  <r>
    <d v="2024-11-22T00:00:00"/>
    <s v="Happy action."/>
    <x v="4"/>
    <n v="795.56"/>
    <x v="0"/>
    <x v="10"/>
    <n v="2024"/>
    <n v="-795.56"/>
  </r>
  <r>
    <d v="2024-11-23T00:00:00"/>
    <s v="Hospital writer can industry."/>
    <x v="5"/>
    <n v="3599"/>
    <x v="1"/>
    <x v="10"/>
    <n v="2024"/>
    <n v="3599"/>
  </r>
  <r>
    <d v="2024-11-24T00:00:00"/>
    <s v="Western tend candidate day."/>
    <x v="2"/>
    <n v="850.26"/>
    <x v="0"/>
    <x v="10"/>
    <n v="2024"/>
    <n v="-850.26"/>
  </r>
  <r>
    <d v="2024-11-24T00:00:00"/>
    <s v="City offer financial data."/>
    <x v="9"/>
    <n v="576.51"/>
    <x v="0"/>
    <x v="10"/>
    <n v="2024"/>
    <n v="-576.51"/>
  </r>
  <r>
    <d v="2024-11-24T00:00:00"/>
    <s v="Cut yard knowledge."/>
    <x v="9"/>
    <n v="831.68"/>
    <x v="0"/>
    <x v="10"/>
    <n v="2024"/>
    <n v="-831.68"/>
  </r>
  <r>
    <d v="2024-11-25T00:00:00"/>
    <s v="Space moment travel these least."/>
    <x v="1"/>
    <n v="281.88"/>
    <x v="0"/>
    <x v="10"/>
    <n v="2024"/>
    <n v="-281.88"/>
  </r>
  <r>
    <d v="2024-11-25T00:00:00"/>
    <s v="Say explain."/>
    <x v="5"/>
    <n v="4209"/>
    <x v="1"/>
    <x v="10"/>
    <n v="2024"/>
    <n v="4209"/>
  </r>
  <r>
    <d v="2024-11-25T00:00:00"/>
    <s v="Red republican father party."/>
    <x v="8"/>
    <n v="383.7"/>
    <x v="0"/>
    <x v="10"/>
    <n v="2024"/>
    <n v="-383.7"/>
  </r>
  <r>
    <d v="2024-11-26T00:00:00"/>
    <s v="Eat tonight run leader."/>
    <x v="3"/>
    <n v="4882"/>
    <x v="1"/>
    <x v="10"/>
    <n v="2024"/>
    <n v="4882"/>
  </r>
  <r>
    <d v="2024-11-29T00:00:00"/>
    <s v="Believe recognize analysis those citizen."/>
    <x v="3"/>
    <n v="2811"/>
    <x v="1"/>
    <x v="10"/>
    <n v="2024"/>
    <n v="2811"/>
  </r>
  <r>
    <d v="2024-11-30T00:00:00"/>
    <s v="Project at risk."/>
    <x v="8"/>
    <n v="1456.94"/>
    <x v="0"/>
    <x v="10"/>
    <n v="2024"/>
    <n v="-1456.94"/>
  </r>
  <r>
    <d v="2024-12-02T00:00:00"/>
    <s v="In seven building hard."/>
    <x v="1"/>
    <n v="39.299999999999997"/>
    <x v="0"/>
    <x v="11"/>
    <n v="2024"/>
    <n v="-39.299999999999997"/>
  </r>
  <r>
    <d v="2024-12-05T00:00:00"/>
    <s v="Short for late education."/>
    <x v="4"/>
    <n v="630.04"/>
    <x v="0"/>
    <x v="11"/>
    <n v="2024"/>
    <n v="-630.04"/>
  </r>
  <r>
    <d v="2024-12-06T00:00:00"/>
    <s v="Left available."/>
    <x v="7"/>
    <n v="932.73"/>
    <x v="0"/>
    <x v="11"/>
    <n v="2024"/>
    <n v="-932.73"/>
  </r>
  <r>
    <d v="2024-12-09T00:00:00"/>
    <s v="Gas human create also."/>
    <x v="7"/>
    <n v="169.64"/>
    <x v="0"/>
    <x v="11"/>
    <n v="2024"/>
    <n v="-169.64"/>
  </r>
  <r>
    <d v="2024-12-11T00:00:00"/>
    <s v="Remember carry."/>
    <x v="1"/>
    <n v="121.52"/>
    <x v="0"/>
    <x v="11"/>
    <n v="2024"/>
    <n v="-121.52"/>
  </r>
  <r>
    <d v="2024-12-12T00:00:00"/>
    <s v="Leave bar prevent require."/>
    <x v="2"/>
    <n v="1090.95"/>
    <x v="0"/>
    <x v="11"/>
    <n v="2024"/>
    <n v="-1090.95"/>
  </r>
  <r>
    <d v="2024-12-12T00:00:00"/>
    <s v="Likely evidence claim."/>
    <x v="5"/>
    <n v="3625"/>
    <x v="1"/>
    <x v="11"/>
    <n v="2024"/>
    <n v="3625"/>
  </r>
  <r>
    <d v="2024-12-15T00:00:00"/>
    <s v="Beyond family movement hospital back."/>
    <x v="2"/>
    <n v="1949.45"/>
    <x v="0"/>
    <x v="11"/>
    <n v="2024"/>
    <n v="-1949.45"/>
  </r>
  <r>
    <d v="2024-12-16T00:00:00"/>
    <s v="Child group describe."/>
    <x v="4"/>
    <n v="1544.74"/>
    <x v="0"/>
    <x v="11"/>
    <n v="2024"/>
    <n v="-1544.74"/>
  </r>
  <r>
    <d v="2024-12-19T00:00:00"/>
    <s v="Democratic recent student specific political."/>
    <x v="0"/>
    <n v="406.37"/>
    <x v="0"/>
    <x v="11"/>
    <n v="2024"/>
    <n v="-406.37"/>
  </r>
  <r>
    <d v="2024-12-19T00:00:00"/>
    <s v="Real know our any."/>
    <x v="2"/>
    <n v="1047.07"/>
    <x v="0"/>
    <x v="11"/>
    <n v="2024"/>
    <n v="-1047.07"/>
  </r>
  <r>
    <d v="2024-12-21T00:00:00"/>
    <s v="Up hear draw."/>
    <x v="8"/>
    <n v="784.35"/>
    <x v="0"/>
    <x v="11"/>
    <n v="2024"/>
    <n v="-784.35"/>
  </r>
  <r>
    <d v="2024-12-23T00:00:00"/>
    <s v="Instead writer."/>
    <x v="7"/>
    <n v="325.64"/>
    <x v="0"/>
    <x v="11"/>
    <n v="2024"/>
    <n v="-325.64"/>
  </r>
  <r>
    <d v="2024-12-28T00:00:00"/>
    <s v="Quite as when."/>
    <x v="2"/>
    <n v="514.09"/>
    <x v="0"/>
    <x v="11"/>
    <n v="2024"/>
    <n v="-514.09"/>
  </r>
  <r>
    <d v="2024-12-28T00:00:00"/>
    <s v="Right analysis mention."/>
    <x v="6"/>
    <n v="727.25"/>
    <x v="0"/>
    <x v="11"/>
    <n v="2024"/>
    <n v="-727.25"/>
  </r>
  <r>
    <d v="2024-12-28T00:00:00"/>
    <s v="No couple debate must."/>
    <x v="3"/>
    <n v="1425"/>
    <x v="1"/>
    <x v="11"/>
    <n v="2024"/>
    <n v="1425"/>
  </r>
  <r>
    <d v="2024-12-29T00:00:00"/>
    <s v="Discussion black follow."/>
    <x v="4"/>
    <n v="655.78"/>
    <x v="0"/>
    <x v="11"/>
    <n v="2024"/>
    <n v="-655.78"/>
  </r>
  <r>
    <d v="2024-12-29T00:00:00"/>
    <s v="Pressure activity defense detail."/>
    <x v="5"/>
    <n v="1480"/>
    <x v="1"/>
    <x v="11"/>
    <n v="2024"/>
    <n v="148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333092F-204F-4AA1-90DC-9818E974D845}" name="PivotTable26" cacheId="7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12" firstHeaderRow="1" firstDataRow="1" firstDataCol="1" rowPageCount="1" colPageCount="1"/>
  <pivotFields count="8">
    <pivotField numFmtId="14" showAll="0"/>
    <pivotField showAll="0"/>
    <pivotField axis="axisRow" showAll="0" sortType="descending">
      <items count="11">
        <item x="6"/>
        <item x="0"/>
        <item x="7"/>
        <item x="3"/>
        <item x="5"/>
        <item x="2"/>
        <item x="8"/>
        <item x="4"/>
        <item x="9"/>
        <item x="1"/>
        <item t="default"/>
      </items>
      <autoSortScope>
        <pivotArea dataOnly="0" outline="0" fieldPosition="0">
          <references count="1">
            <reference field="4294967294" count="1" selected="0">
              <x v="0"/>
            </reference>
          </references>
        </pivotArea>
      </autoSortScope>
    </pivotField>
    <pivotField dataField="1" showAll="0"/>
    <pivotField axis="axisPage" multipleItemSelectionAllowed="1" showAll="0">
      <items count="3">
        <item x="0"/>
        <item h="1" x="1"/>
        <item t="default"/>
      </items>
    </pivotField>
    <pivotField showAll="0"/>
    <pivotField showAll="0"/>
    <pivotField showAll="0"/>
  </pivotFields>
  <rowFields count="1">
    <field x="2"/>
  </rowFields>
  <rowItems count="9">
    <i>
      <x v="8"/>
    </i>
    <i>
      <x v="5"/>
    </i>
    <i>
      <x v="1"/>
    </i>
    <i>
      <x v="6"/>
    </i>
    <i>
      <x/>
    </i>
    <i>
      <x v="7"/>
    </i>
    <i>
      <x v="9"/>
    </i>
    <i>
      <x v="2"/>
    </i>
    <i t="grand">
      <x/>
    </i>
  </rowItems>
  <colItems count="1">
    <i/>
  </colItems>
  <pageFields count="1">
    <pageField fld="4" hier="-1"/>
  </pageFields>
  <dataFields count="1">
    <dataField name="Sum of Amount" fld="3" baseField="0" baseItem="0"/>
  </dataField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13F79C1-E075-4933-908F-82755EF73746}" name="PivotTable27" cacheId="7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D17" firstHeaderRow="1" firstDataRow="2" firstDataCol="1"/>
  <pivotFields count="8">
    <pivotField numFmtId="14" showAll="0"/>
    <pivotField showAll="0"/>
    <pivotField showAll="0"/>
    <pivotField dataField="1" showAll="0"/>
    <pivotField axis="axisCol" showAll="0">
      <items count="3">
        <item x="0"/>
        <item x="1"/>
        <item t="default"/>
      </items>
    </pivotField>
    <pivotField axis="axisRow" showAll="0">
      <items count="13">
        <item x="0"/>
        <item x="1"/>
        <item x="2"/>
        <item x="3"/>
        <item x="4"/>
        <item x="5"/>
        <item x="6"/>
        <item x="7"/>
        <item x="8"/>
        <item x="9"/>
        <item x="10"/>
        <item x="11"/>
        <item t="default"/>
      </items>
    </pivotField>
    <pivotField showAll="0"/>
    <pivotField showAll="0"/>
  </pivotFields>
  <rowFields count="1">
    <field x="5"/>
  </rowFields>
  <rowItems count="13">
    <i>
      <x/>
    </i>
    <i>
      <x v="1"/>
    </i>
    <i>
      <x v="2"/>
    </i>
    <i>
      <x v="3"/>
    </i>
    <i>
      <x v="4"/>
    </i>
    <i>
      <x v="5"/>
    </i>
    <i>
      <x v="6"/>
    </i>
    <i>
      <x v="7"/>
    </i>
    <i>
      <x v="8"/>
    </i>
    <i>
      <x v="9"/>
    </i>
    <i>
      <x v="10"/>
    </i>
    <i>
      <x v="11"/>
    </i>
    <i t="grand">
      <x/>
    </i>
  </rowItems>
  <colFields count="1">
    <field x="4"/>
  </colFields>
  <colItems count="3">
    <i>
      <x/>
    </i>
    <i>
      <x v="1"/>
    </i>
    <i t="grand">
      <x/>
    </i>
  </colItems>
  <dataFields count="1">
    <dataField name="Sum of Amount" fld="3" baseField="0" baseItem="0"/>
  </dataFields>
  <chartFormats count="4">
    <chartFormat chart="0" format="0" series="1">
      <pivotArea type="data" outline="0" fieldPosition="0">
        <references count="2">
          <reference field="4294967294" count="1" selected="0">
            <x v="0"/>
          </reference>
          <reference field="4" count="1" selected="0">
            <x v="0"/>
          </reference>
        </references>
      </pivotArea>
    </chartFormat>
    <chartFormat chart="0" format="1" series="1">
      <pivotArea type="data" outline="0" fieldPosition="0">
        <references count="2">
          <reference field="4294967294" count="1" selected="0">
            <x v="0"/>
          </reference>
          <reference field="4" count="1" selected="0">
            <x v="1"/>
          </reference>
        </references>
      </pivotArea>
    </chartFormat>
    <chartFormat chart="4" format="4" series="1">
      <pivotArea type="data" outline="0" fieldPosition="0">
        <references count="2">
          <reference field="4294967294" count="1" selected="0">
            <x v="0"/>
          </reference>
          <reference field="4" count="1" selected="0">
            <x v="0"/>
          </reference>
        </references>
      </pivotArea>
    </chartFormat>
    <chartFormat chart="4" format="5" series="1">
      <pivotArea type="data" outline="0" fieldPosition="0">
        <references count="2">
          <reference field="4294967294" count="1" selected="0">
            <x v="0"/>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0BB84C6-DFC4-40BD-96CA-72706C7CA600}" name="Table1" displayName="Table1" ref="A1:H1501" totalsRowShown="0">
  <autoFilter ref="A1:H1501" xr:uid="{90BB84C6-DFC4-40BD-96CA-72706C7CA600}"/>
  <tableColumns count="8">
    <tableColumn id="1" xr3:uid="{D1D01367-27D3-467E-9128-B7E66028CBAD}" name="Date" dataDxfId="6"/>
    <tableColumn id="2" xr3:uid="{2470912B-8241-4BF3-B1A0-442E23969659}" name="Transaction Description"/>
    <tableColumn id="3" xr3:uid="{92409A78-1F0C-46BA-B0EC-0A5EB7801A62}" name="Category"/>
    <tableColumn id="4" xr3:uid="{9F1ABEA6-D6FD-448E-8865-736FC127ED0D}" name="Amount"/>
    <tableColumn id="5" xr3:uid="{D69F4117-4935-4DDF-A4F3-140DD3B1086A}" name="Type"/>
    <tableColumn id="6" xr3:uid="{3DAD2733-ADC8-4DF2-8956-4DF6F721BF55}" name="Month" dataDxfId="5">
      <calculatedColumnFormula>TEXT(A2,"mmm")</calculatedColumnFormula>
    </tableColumn>
    <tableColumn id="7" xr3:uid="{7D3B559B-173B-4C52-AF6E-2D07FBBCC667}" name="Year" dataDxfId="4">
      <calculatedColumnFormula>YEAR(A2)</calculatedColumnFormula>
    </tableColumn>
    <tableColumn id="8" xr3:uid="{C71DF13F-3411-45EC-831C-3B5368E61798}" name="Signed_Amount" dataDxfId="3">
      <calculatedColumnFormula>IF(E2="Income",D2,-D2)</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FCB77F6-8FEE-4363-8434-80747ACC41F6}" name="Table2" displayName="Table2" ref="A1:B8" totalsRowShown="0" headerRowDxfId="2">
  <autoFilter ref="A1:B8" xr:uid="{3FCB77F6-8FEE-4363-8434-80747ACC41F6}"/>
  <tableColumns count="2">
    <tableColumn id="1" xr3:uid="{F67E2C6F-F7B6-4FE2-BEF3-9CF00B13E2BE}" name="FINANCIAL SUMMARY" dataDxfId="1"/>
    <tableColumn id="2" xr3:uid="{AF8B7A27-9C3A-45CD-86BC-A1190EEBC4F3}" name="formula"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3EFF32-0A27-435C-B82D-37C3DAB8EA8F}">
  <dimension ref="B9:BB15"/>
  <sheetViews>
    <sheetView showGridLines="0" workbookViewId="0">
      <selection activeCell="C14" sqref="C14"/>
    </sheetView>
  </sheetViews>
  <sheetFormatPr defaultRowHeight="15" x14ac:dyDescent="0.25"/>
  <sheetData>
    <row r="9" spans="2:54" ht="23.25" x14ac:dyDescent="0.25">
      <c r="C9" s="15" t="s">
        <v>1550</v>
      </c>
    </row>
    <row r="10" spans="2:54" x14ac:dyDescent="0.25">
      <c r="C10" s="10"/>
    </row>
    <row r="11" spans="2:54" ht="26.25" x14ac:dyDescent="0.25">
      <c r="C11" s="16" t="s">
        <v>1551</v>
      </c>
    </row>
    <row r="12" spans="2:54" ht="26.25" x14ac:dyDescent="0.4">
      <c r="C12" s="17"/>
      <c r="D12" s="17"/>
      <c r="E12" s="17"/>
      <c r="F12" s="17"/>
      <c r="G12" s="17"/>
      <c r="H12" s="17"/>
      <c r="I12" s="17"/>
      <c r="J12" s="17"/>
      <c r="K12" s="17"/>
      <c r="L12" s="17"/>
      <c r="M12" s="17"/>
      <c r="N12" s="17"/>
      <c r="O12" s="17"/>
      <c r="P12" s="17"/>
      <c r="Q12" s="17"/>
      <c r="R12" s="17"/>
      <c r="S12" s="17"/>
      <c r="T12" s="17"/>
      <c r="U12" s="17"/>
      <c r="V12" s="17"/>
      <c r="W12" s="17"/>
      <c r="X12" s="17"/>
      <c r="Y12" s="17"/>
      <c r="Z12" s="17"/>
      <c r="AA12" s="17"/>
      <c r="AB12" s="17"/>
      <c r="AC12" s="17"/>
      <c r="AD12" s="17"/>
      <c r="AE12" s="17"/>
      <c r="AF12" s="17"/>
      <c r="AG12" s="17"/>
      <c r="AH12" s="17"/>
      <c r="AI12" s="17"/>
      <c r="AJ12" s="17"/>
      <c r="AK12" s="17"/>
      <c r="AL12" s="17"/>
      <c r="AM12" s="17"/>
      <c r="AN12" s="17"/>
      <c r="AO12" s="17"/>
      <c r="AP12" s="17"/>
      <c r="AQ12" s="17"/>
      <c r="AR12" s="17"/>
      <c r="AS12" s="17"/>
      <c r="AT12" s="17"/>
      <c r="AU12" s="17"/>
      <c r="AV12" s="17"/>
      <c r="AW12" s="17"/>
      <c r="AX12" s="17"/>
      <c r="AY12" s="17"/>
      <c r="AZ12" s="18" t="s">
        <v>1552</v>
      </c>
      <c r="BA12" s="17"/>
      <c r="BB12" s="17"/>
    </row>
    <row r="13" spans="2:54" x14ac:dyDescent="0.25">
      <c r="B13" s="17"/>
      <c r="C13" s="17"/>
      <c r="D13" s="17"/>
      <c r="E13" s="17"/>
      <c r="F13" s="17"/>
      <c r="G13" s="17"/>
      <c r="H13" s="17"/>
      <c r="I13" s="17"/>
      <c r="J13" s="17"/>
      <c r="K13" s="17"/>
      <c r="L13" s="17"/>
      <c r="M13" s="17"/>
      <c r="N13" s="17"/>
      <c r="O13" s="17"/>
      <c r="P13" s="17"/>
      <c r="Q13" s="17"/>
      <c r="R13" s="17"/>
      <c r="S13" s="17"/>
      <c r="T13" s="17"/>
      <c r="U13" s="17"/>
      <c r="V13" s="17"/>
      <c r="W13" s="17"/>
      <c r="X13" s="17"/>
      <c r="Y13" s="17"/>
      <c r="Z13" s="17"/>
      <c r="AA13" s="17"/>
      <c r="AB13" s="17"/>
      <c r="AC13" s="17"/>
      <c r="AD13" s="17"/>
      <c r="AE13" s="17"/>
      <c r="AF13" s="17"/>
      <c r="AG13" s="17"/>
      <c r="AH13" s="17"/>
      <c r="AI13" s="17"/>
      <c r="AJ13" s="17"/>
      <c r="AK13" s="17"/>
      <c r="AL13" s="17"/>
      <c r="AM13" s="17"/>
      <c r="AN13" s="17"/>
      <c r="AO13" s="17"/>
      <c r="AP13" s="17"/>
      <c r="AQ13" s="17"/>
      <c r="AR13" s="17"/>
      <c r="AS13" s="17"/>
      <c r="AT13" s="17"/>
      <c r="AU13" s="17"/>
      <c r="AV13" s="17"/>
      <c r="AW13" s="17"/>
      <c r="AX13" s="17"/>
      <c r="AY13" s="17"/>
      <c r="AZ13" s="17"/>
      <c r="BA13" s="17"/>
      <c r="BB13" s="17"/>
    </row>
    <row r="14" spans="2:54" ht="28.5" x14ac:dyDescent="0.45">
      <c r="B14" s="17"/>
      <c r="C14" s="19" t="s">
        <v>1553</v>
      </c>
      <c r="D14" s="17"/>
      <c r="E14" s="17"/>
      <c r="F14" s="17"/>
      <c r="G14" s="17"/>
      <c r="H14" s="17"/>
      <c r="I14" s="17"/>
      <c r="J14" s="17"/>
      <c r="K14" s="17"/>
      <c r="L14" s="17"/>
      <c r="M14" s="17"/>
      <c r="N14" s="17"/>
      <c r="O14" s="17"/>
      <c r="P14" s="17"/>
      <c r="Q14" s="17"/>
      <c r="R14" s="17"/>
      <c r="S14" s="17"/>
      <c r="T14" s="17"/>
      <c r="U14" s="17"/>
      <c r="V14" s="17"/>
      <c r="W14" s="17"/>
      <c r="X14" s="17"/>
      <c r="Y14" s="17"/>
      <c r="Z14" s="17"/>
      <c r="AA14" s="17"/>
      <c r="AB14" s="17"/>
      <c r="AC14" s="17"/>
      <c r="AD14" s="17"/>
      <c r="AE14" s="17"/>
      <c r="AF14" s="17"/>
      <c r="AG14" s="17"/>
      <c r="AH14" s="17"/>
      <c r="AI14" s="17"/>
      <c r="AJ14" s="17"/>
      <c r="AK14" s="17"/>
      <c r="AL14" s="17"/>
      <c r="AM14" s="17"/>
      <c r="AN14" s="17"/>
      <c r="AO14" s="17"/>
      <c r="AP14" s="17"/>
      <c r="AQ14" s="17"/>
      <c r="AR14" s="17"/>
      <c r="AS14" s="17"/>
      <c r="AT14" s="17"/>
      <c r="AU14" s="17"/>
      <c r="AV14" s="17"/>
      <c r="AW14" s="17"/>
      <c r="AX14" s="17"/>
      <c r="AY14" s="17"/>
      <c r="AZ14" s="17"/>
      <c r="BA14" s="17"/>
      <c r="BB14" s="17"/>
    </row>
    <row r="15" spans="2:54" x14ac:dyDescent="0.25">
      <c r="B15" s="17"/>
      <c r="C15" s="17"/>
      <c r="D15" s="17"/>
      <c r="E15" s="17"/>
      <c r="F15" s="17"/>
      <c r="G15" s="17"/>
      <c r="H15" s="17"/>
      <c r="I15" s="17"/>
      <c r="J15" s="17"/>
      <c r="K15" s="17"/>
      <c r="L15" s="17"/>
      <c r="M15" s="17"/>
      <c r="N15" s="17"/>
      <c r="O15" s="17"/>
      <c r="P15" s="17"/>
      <c r="Q15" s="17"/>
      <c r="R15" s="17"/>
      <c r="S15" s="17"/>
      <c r="T15" s="17"/>
      <c r="U15" s="17"/>
      <c r="V15" s="17"/>
      <c r="W15" s="17"/>
      <c r="X15" s="17"/>
      <c r="Y15" s="17"/>
      <c r="Z15" s="17"/>
      <c r="AA15" s="17"/>
      <c r="AB15" s="17"/>
      <c r="AC15" s="17"/>
      <c r="AD15" s="17"/>
      <c r="AE15" s="17"/>
      <c r="AF15" s="17"/>
      <c r="AG15" s="17"/>
      <c r="AH15" s="17"/>
      <c r="AI15" s="17"/>
      <c r="AJ15" s="17"/>
      <c r="AK15" s="17"/>
      <c r="AL15" s="17"/>
      <c r="AM15" s="17"/>
      <c r="AN15" s="17"/>
      <c r="AO15" s="17"/>
      <c r="AP15" s="17"/>
      <c r="AQ15" s="17"/>
      <c r="AR15" s="17"/>
      <c r="AS15" s="17"/>
      <c r="AT15" s="17"/>
      <c r="AU15" s="17"/>
      <c r="AV15" s="17"/>
      <c r="AW15" s="17"/>
      <c r="AX15" s="17"/>
      <c r="AY15" s="17"/>
      <c r="AZ15" s="17"/>
      <c r="BA15" s="17"/>
      <c r="BB15" s="17"/>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8B203C-560E-4BB0-92D8-A0F2467EF090}">
  <dimension ref="A1:H1501"/>
  <sheetViews>
    <sheetView topLeftCell="A2" workbookViewId="0">
      <selection activeCell="H27" sqref="H27"/>
    </sheetView>
  </sheetViews>
  <sheetFormatPr defaultRowHeight="15" x14ac:dyDescent="0.25"/>
  <cols>
    <col min="1" max="1" width="10.42578125" bestFit="1" customWidth="1"/>
    <col min="2" max="2" width="45.42578125" bestFit="1" customWidth="1"/>
    <col min="3" max="3" width="15.5703125" bestFit="1" customWidth="1"/>
    <col min="4" max="4" width="10.28515625" customWidth="1"/>
    <col min="5" max="5" width="8.42578125" bestFit="1" customWidth="1"/>
    <col min="8" max="8" width="17.5703125" style="2" bestFit="1" customWidth="1"/>
  </cols>
  <sheetData>
    <row r="1" spans="1:8" x14ac:dyDescent="0.25">
      <c r="A1" t="s">
        <v>0</v>
      </c>
      <c r="B1" t="s">
        <v>1</v>
      </c>
      <c r="C1" t="s">
        <v>2</v>
      </c>
      <c r="D1" t="s">
        <v>3</v>
      </c>
      <c r="E1" t="s">
        <v>4</v>
      </c>
      <c r="F1" t="s">
        <v>1517</v>
      </c>
      <c r="G1" t="s">
        <v>1518</v>
      </c>
      <c r="H1" s="2" t="s">
        <v>1519</v>
      </c>
    </row>
    <row r="2" spans="1:8" x14ac:dyDescent="0.25">
      <c r="A2" s="1">
        <v>43832</v>
      </c>
      <c r="B2" t="s">
        <v>5</v>
      </c>
      <c r="C2" t="s">
        <v>6</v>
      </c>
      <c r="D2">
        <v>1485.69</v>
      </c>
      <c r="E2" t="s">
        <v>7</v>
      </c>
      <c r="F2" s="2" t="str">
        <f t="shared" ref="F2:F65" si="0">TEXT(A2,"mmm")</f>
        <v>Jan</v>
      </c>
      <c r="G2" s="2">
        <f t="shared" ref="G2:G65" si="1">YEAR(A2)</f>
        <v>2020</v>
      </c>
      <c r="H2" s="2">
        <f t="shared" ref="H2:H65" si="2">IF(E2="Income",D2,-D2)</f>
        <v>-1485.69</v>
      </c>
    </row>
    <row r="3" spans="1:8" x14ac:dyDescent="0.25">
      <c r="A3" s="1">
        <v>43832</v>
      </c>
      <c r="B3" t="s">
        <v>8</v>
      </c>
      <c r="C3" t="s">
        <v>9</v>
      </c>
      <c r="D3">
        <v>1475.58</v>
      </c>
      <c r="E3" t="s">
        <v>7</v>
      </c>
      <c r="F3" s="2" t="str">
        <f t="shared" si="0"/>
        <v>Jan</v>
      </c>
      <c r="G3" s="2">
        <f t="shared" si="1"/>
        <v>2020</v>
      </c>
      <c r="H3" s="2">
        <f t="shared" si="2"/>
        <v>-1475.58</v>
      </c>
    </row>
    <row r="4" spans="1:8" x14ac:dyDescent="0.25">
      <c r="A4" s="1">
        <v>43834</v>
      </c>
      <c r="B4" t="s">
        <v>10</v>
      </c>
      <c r="C4" t="s">
        <v>11</v>
      </c>
      <c r="D4">
        <v>1185.08</v>
      </c>
      <c r="E4" t="s">
        <v>7</v>
      </c>
      <c r="F4" s="2" t="str">
        <f t="shared" si="0"/>
        <v>Jan</v>
      </c>
      <c r="G4" s="2">
        <f t="shared" si="1"/>
        <v>2020</v>
      </c>
      <c r="H4" s="2">
        <f t="shared" si="2"/>
        <v>-1185.08</v>
      </c>
    </row>
    <row r="5" spans="1:8" x14ac:dyDescent="0.25">
      <c r="A5" s="1">
        <v>43835</v>
      </c>
      <c r="B5" t="s">
        <v>12</v>
      </c>
      <c r="C5" t="s">
        <v>13</v>
      </c>
      <c r="D5">
        <v>2291</v>
      </c>
      <c r="E5" t="s">
        <v>14</v>
      </c>
      <c r="F5" s="2" t="str">
        <f t="shared" si="0"/>
        <v>Jan</v>
      </c>
      <c r="G5" s="2">
        <f t="shared" si="1"/>
        <v>2020</v>
      </c>
      <c r="H5" s="2">
        <f t="shared" si="2"/>
        <v>2291</v>
      </c>
    </row>
    <row r="6" spans="1:8" x14ac:dyDescent="0.25">
      <c r="A6" s="1">
        <v>43843</v>
      </c>
      <c r="B6" t="s">
        <v>15</v>
      </c>
      <c r="C6" t="s">
        <v>6</v>
      </c>
      <c r="D6">
        <v>1126.8800000000001</v>
      </c>
      <c r="E6" t="s">
        <v>7</v>
      </c>
      <c r="F6" s="2" t="str">
        <f t="shared" si="0"/>
        <v>Jan</v>
      </c>
      <c r="G6" s="2">
        <f t="shared" si="1"/>
        <v>2020</v>
      </c>
      <c r="H6" s="2">
        <f t="shared" si="2"/>
        <v>-1126.8800000000001</v>
      </c>
    </row>
    <row r="7" spans="1:8" x14ac:dyDescent="0.25">
      <c r="A7" s="1">
        <v>43844</v>
      </c>
      <c r="B7" t="s">
        <v>16</v>
      </c>
      <c r="C7" t="s">
        <v>17</v>
      </c>
      <c r="D7">
        <v>448.68</v>
      </c>
      <c r="E7" t="s">
        <v>7</v>
      </c>
      <c r="F7" s="2" t="str">
        <f t="shared" si="0"/>
        <v>Jan</v>
      </c>
      <c r="G7" s="2">
        <f t="shared" si="1"/>
        <v>2020</v>
      </c>
      <c r="H7" s="2">
        <f t="shared" si="2"/>
        <v>-448.68</v>
      </c>
    </row>
    <row r="8" spans="1:8" x14ac:dyDescent="0.25">
      <c r="A8" s="1">
        <v>43848</v>
      </c>
      <c r="B8" t="s">
        <v>18</v>
      </c>
      <c r="C8" t="s">
        <v>6</v>
      </c>
      <c r="D8">
        <v>1520.03</v>
      </c>
      <c r="E8" t="s">
        <v>7</v>
      </c>
      <c r="F8" s="2" t="str">
        <f t="shared" si="0"/>
        <v>Jan</v>
      </c>
      <c r="G8" s="2">
        <f t="shared" si="1"/>
        <v>2020</v>
      </c>
      <c r="H8" s="2">
        <f t="shared" si="2"/>
        <v>-1520.03</v>
      </c>
    </row>
    <row r="9" spans="1:8" x14ac:dyDescent="0.25">
      <c r="A9" s="1">
        <v>43849</v>
      </c>
      <c r="B9" t="s">
        <v>19</v>
      </c>
      <c r="C9" t="s">
        <v>20</v>
      </c>
      <c r="D9">
        <v>3287</v>
      </c>
      <c r="E9" t="s">
        <v>14</v>
      </c>
      <c r="F9" s="2" t="str">
        <f t="shared" si="0"/>
        <v>Jan</v>
      </c>
      <c r="G9" s="2">
        <f t="shared" si="1"/>
        <v>2020</v>
      </c>
      <c r="H9" s="2">
        <f t="shared" si="2"/>
        <v>3287</v>
      </c>
    </row>
    <row r="10" spans="1:8" x14ac:dyDescent="0.25">
      <c r="A10" s="1">
        <v>43851</v>
      </c>
      <c r="B10" t="s">
        <v>21</v>
      </c>
      <c r="C10" t="s">
        <v>22</v>
      </c>
      <c r="D10">
        <v>1914.85</v>
      </c>
      <c r="E10" t="s">
        <v>7</v>
      </c>
      <c r="F10" s="2" t="str">
        <f t="shared" si="0"/>
        <v>Jan</v>
      </c>
      <c r="G10" s="2">
        <f t="shared" si="1"/>
        <v>2020</v>
      </c>
      <c r="H10" s="2">
        <f t="shared" si="2"/>
        <v>-1914.85</v>
      </c>
    </row>
    <row r="11" spans="1:8" x14ac:dyDescent="0.25">
      <c r="A11" s="1">
        <v>43855</v>
      </c>
      <c r="B11" t="s">
        <v>23</v>
      </c>
      <c r="C11" t="s">
        <v>11</v>
      </c>
      <c r="D11">
        <v>766.06</v>
      </c>
      <c r="E11" t="s">
        <v>7</v>
      </c>
      <c r="F11" s="2" t="str">
        <f t="shared" si="0"/>
        <v>Jan</v>
      </c>
      <c r="G11" s="2">
        <f t="shared" si="1"/>
        <v>2020</v>
      </c>
      <c r="H11" s="2">
        <f t="shared" si="2"/>
        <v>-766.06</v>
      </c>
    </row>
    <row r="12" spans="1:8" x14ac:dyDescent="0.25">
      <c r="A12" s="1">
        <v>43855</v>
      </c>
      <c r="B12" t="s">
        <v>24</v>
      </c>
      <c r="C12" t="s">
        <v>25</v>
      </c>
      <c r="D12">
        <v>1211.4100000000001</v>
      </c>
      <c r="E12" t="s">
        <v>7</v>
      </c>
      <c r="F12" s="2" t="str">
        <f t="shared" si="0"/>
        <v>Jan</v>
      </c>
      <c r="G12" s="2">
        <f t="shared" si="1"/>
        <v>2020</v>
      </c>
      <c r="H12" s="2">
        <f t="shared" si="2"/>
        <v>-1211.4100000000001</v>
      </c>
    </row>
    <row r="13" spans="1:8" x14ac:dyDescent="0.25">
      <c r="A13" s="1">
        <v>43856</v>
      </c>
      <c r="B13" t="s">
        <v>26</v>
      </c>
      <c r="C13" t="s">
        <v>27</v>
      </c>
      <c r="D13">
        <v>1077.0899999999999</v>
      </c>
      <c r="E13" t="s">
        <v>7</v>
      </c>
      <c r="F13" s="2" t="str">
        <f t="shared" si="0"/>
        <v>Jan</v>
      </c>
      <c r="G13" s="2">
        <f t="shared" si="1"/>
        <v>2020</v>
      </c>
      <c r="H13" s="2">
        <f t="shared" si="2"/>
        <v>-1077.0899999999999</v>
      </c>
    </row>
    <row r="14" spans="1:8" x14ac:dyDescent="0.25">
      <c r="A14" s="1">
        <v>43859</v>
      </c>
      <c r="B14" t="s">
        <v>28</v>
      </c>
      <c r="C14" t="s">
        <v>17</v>
      </c>
      <c r="D14">
        <v>166.81</v>
      </c>
      <c r="E14" t="s">
        <v>7</v>
      </c>
      <c r="F14" s="2" t="str">
        <f t="shared" si="0"/>
        <v>Jan</v>
      </c>
      <c r="G14" s="2">
        <f t="shared" si="1"/>
        <v>2020</v>
      </c>
      <c r="H14" s="2">
        <f t="shared" si="2"/>
        <v>-166.81</v>
      </c>
    </row>
    <row r="15" spans="1:8" x14ac:dyDescent="0.25">
      <c r="A15" s="1">
        <v>43860</v>
      </c>
      <c r="B15" t="s">
        <v>29</v>
      </c>
      <c r="C15" t="s">
        <v>25</v>
      </c>
      <c r="D15">
        <v>1158.93</v>
      </c>
      <c r="E15" t="s">
        <v>7</v>
      </c>
      <c r="F15" s="2" t="str">
        <f t="shared" si="0"/>
        <v>Jan</v>
      </c>
      <c r="G15" s="2">
        <f t="shared" si="1"/>
        <v>2020</v>
      </c>
      <c r="H15" s="2">
        <f t="shared" si="2"/>
        <v>-1158.93</v>
      </c>
    </row>
    <row r="16" spans="1:8" x14ac:dyDescent="0.25">
      <c r="A16" s="1">
        <v>43861</v>
      </c>
      <c r="B16" t="s">
        <v>30</v>
      </c>
      <c r="C16" t="s">
        <v>6</v>
      </c>
      <c r="D16">
        <v>1325.91</v>
      </c>
      <c r="E16" t="s">
        <v>7</v>
      </c>
      <c r="F16" s="2" t="str">
        <f t="shared" si="0"/>
        <v>Jan</v>
      </c>
      <c r="G16" s="2">
        <f t="shared" si="1"/>
        <v>2020</v>
      </c>
      <c r="H16" s="2">
        <f t="shared" si="2"/>
        <v>-1325.91</v>
      </c>
    </row>
    <row r="17" spans="1:8" x14ac:dyDescent="0.25">
      <c r="A17" s="1">
        <v>43861</v>
      </c>
      <c r="B17" t="s">
        <v>31</v>
      </c>
      <c r="C17" t="s">
        <v>11</v>
      </c>
      <c r="D17">
        <v>1712.08</v>
      </c>
      <c r="E17" t="s">
        <v>7</v>
      </c>
      <c r="F17" s="2" t="str">
        <f t="shared" si="0"/>
        <v>Jan</v>
      </c>
      <c r="G17" s="2">
        <f t="shared" si="1"/>
        <v>2020</v>
      </c>
      <c r="H17" s="2">
        <f t="shared" si="2"/>
        <v>-1712.08</v>
      </c>
    </row>
    <row r="18" spans="1:8" x14ac:dyDescent="0.25">
      <c r="A18" s="1">
        <v>43861</v>
      </c>
      <c r="B18" t="s">
        <v>32</v>
      </c>
      <c r="C18" t="s">
        <v>17</v>
      </c>
      <c r="D18">
        <v>563.16999999999996</v>
      </c>
      <c r="E18" t="s">
        <v>7</v>
      </c>
      <c r="F18" s="2" t="str">
        <f t="shared" si="0"/>
        <v>Jan</v>
      </c>
      <c r="G18" s="2">
        <f t="shared" si="1"/>
        <v>2020</v>
      </c>
      <c r="H18" s="2">
        <f t="shared" si="2"/>
        <v>-563.16999999999996</v>
      </c>
    </row>
    <row r="19" spans="1:8" x14ac:dyDescent="0.25">
      <c r="A19" s="1">
        <v>43863</v>
      </c>
      <c r="B19" t="s">
        <v>33</v>
      </c>
      <c r="C19" t="s">
        <v>25</v>
      </c>
      <c r="D19">
        <v>333.68</v>
      </c>
      <c r="E19" t="s">
        <v>7</v>
      </c>
      <c r="F19" s="2" t="str">
        <f t="shared" si="0"/>
        <v>Feb</v>
      </c>
      <c r="G19" s="2">
        <f t="shared" si="1"/>
        <v>2020</v>
      </c>
      <c r="H19" s="2">
        <f t="shared" si="2"/>
        <v>-333.68</v>
      </c>
    </row>
    <row r="20" spans="1:8" x14ac:dyDescent="0.25">
      <c r="A20" s="1">
        <v>43865</v>
      </c>
      <c r="B20" t="s">
        <v>34</v>
      </c>
      <c r="C20" t="s">
        <v>35</v>
      </c>
      <c r="D20">
        <v>1406.62</v>
      </c>
      <c r="E20" t="s">
        <v>7</v>
      </c>
      <c r="F20" s="2" t="str">
        <f t="shared" si="0"/>
        <v>Feb</v>
      </c>
      <c r="G20" s="2">
        <f t="shared" si="1"/>
        <v>2020</v>
      </c>
      <c r="H20" s="2">
        <f t="shared" si="2"/>
        <v>-1406.62</v>
      </c>
    </row>
    <row r="21" spans="1:8" x14ac:dyDescent="0.25">
      <c r="A21" s="1">
        <v>43866</v>
      </c>
      <c r="B21" t="s">
        <v>36</v>
      </c>
      <c r="C21" t="s">
        <v>11</v>
      </c>
      <c r="D21">
        <v>1222.17</v>
      </c>
      <c r="E21" t="s">
        <v>7</v>
      </c>
      <c r="F21" s="2" t="str">
        <f t="shared" si="0"/>
        <v>Feb</v>
      </c>
      <c r="G21" s="2">
        <f t="shared" si="1"/>
        <v>2020</v>
      </c>
      <c r="H21" s="2">
        <f t="shared" si="2"/>
        <v>-1222.17</v>
      </c>
    </row>
    <row r="22" spans="1:8" x14ac:dyDescent="0.25">
      <c r="A22" s="1">
        <v>43866</v>
      </c>
      <c r="B22" t="s">
        <v>37</v>
      </c>
      <c r="C22" t="s">
        <v>13</v>
      </c>
      <c r="D22">
        <v>1838</v>
      </c>
      <c r="E22" t="s">
        <v>14</v>
      </c>
      <c r="F22" s="2" t="str">
        <f t="shared" si="0"/>
        <v>Feb</v>
      </c>
      <c r="G22" s="2">
        <f t="shared" si="1"/>
        <v>2020</v>
      </c>
      <c r="H22" s="2">
        <f t="shared" si="2"/>
        <v>1838</v>
      </c>
    </row>
    <row r="23" spans="1:8" x14ac:dyDescent="0.25">
      <c r="A23" s="1">
        <v>43868</v>
      </c>
      <c r="B23" t="s">
        <v>38</v>
      </c>
      <c r="C23" t="s">
        <v>35</v>
      </c>
      <c r="D23">
        <v>1979.15</v>
      </c>
      <c r="E23" t="s">
        <v>7</v>
      </c>
      <c r="F23" s="2" t="str">
        <f t="shared" si="0"/>
        <v>Feb</v>
      </c>
      <c r="G23" s="2">
        <f t="shared" si="1"/>
        <v>2020</v>
      </c>
      <c r="H23" s="2">
        <f t="shared" si="2"/>
        <v>-1979.15</v>
      </c>
    </row>
    <row r="24" spans="1:8" x14ac:dyDescent="0.25">
      <c r="A24" s="1">
        <v>43868</v>
      </c>
      <c r="B24" t="s">
        <v>39</v>
      </c>
      <c r="C24" t="s">
        <v>22</v>
      </c>
      <c r="D24">
        <v>1372.38</v>
      </c>
      <c r="E24" t="s">
        <v>7</v>
      </c>
      <c r="F24" s="2" t="str">
        <f t="shared" si="0"/>
        <v>Feb</v>
      </c>
      <c r="G24" s="2">
        <f t="shared" si="1"/>
        <v>2020</v>
      </c>
      <c r="H24" s="2">
        <f t="shared" si="2"/>
        <v>-1372.38</v>
      </c>
    </row>
    <row r="25" spans="1:8" x14ac:dyDescent="0.25">
      <c r="A25" s="1">
        <v>43869</v>
      </c>
      <c r="B25" t="s">
        <v>40</v>
      </c>
      <c r="C25" t="s">
        <v>6</v>
      </c>
      <c r="D25">
        <v>465.81</v>
      </c>
      <c r="E25" t="s">
        <v>7</v>
      </c>
      <c r="F25" s="2" t="str">
        <f t="shared" si="0"/>
        <v>Feb</v>
      </c>
      <c r="G25" s="2">
        <f t="shared" si="1"/>
        <v>2020</v>
      </c>
      <c r="H25" s="2">
        <f t="shared" si="2"/>
        <v>-465.81</v>
      </c>
    </row>
    <row r="26" spans="1:8" x14ac:dyDescent="0.25">
      <c r="A26" s="1">
        <v>43869</v>
      </c>
      <c r="B26" t="s">
        <v>41</v>
      </c>
      <c r="C26" t="s">
        <v>20</v>
      </c>
      <c r="D26">
        <v>3786</v>
      </c>
      <c r="E26" t="s">
        <v>14</v>
      </c>
      <c r="F26" s="2" t="str">
        <f t="shared" si="0"/>
        <v>Feb</v>
      </c>
      <c r="G26" s="2">
        <f t="shared" si="1"/>
        <v>2020</v>
      </c>
      <c r="H26" s="2">
        <f t="shared" si="2"/>
        <v>3786</v>
      </c>
    </row>
    <row r="27" spans="1:8" x14ac:dyDescent="0.25">
      <c r="A27" s="1">
        <v>43870</v>
      </c>
      <c r="B27" t="s">
        <v>42</v>
      </c>
      <c r="C27" t="s">
        <v>22</v>
      </c>
      <c r="D27">
        <v>1827.14</v>
      </c>
      <c r="E27" t="s">
        <v>7</v>
      </c>
      <c r="F27" s="2" t="str">
        <f t="shared" si="0"/>
        <v>Feb</v>
      </c>
      <c r="G27" s="2">
        <f t="shared" si="1"/>
        <v>2020</v>
      </c>
      <c r="H27" s="2">
        <f t="shared" si="2"/>
        <v>-1827.14</v>
      </c>
    </row>
    <row r="28" spans="1:8" x14ac:dyDescent="0.25">
      <c r="A28" s="1">
        <v>43872</v>
      </c>
      <c r="B28" t="s">
        <v>43</v>
      </c>
      <c r="C28" t="s">
        <v>25</v>
      </c>
      <c r="D28">
        <v>433.13</v>
      </c>
      <c r="E28" t="s">
        <v>7</v>
      </c>
      <c r="F28" s="2" t="str">
        <f t="shared" si="0"/>
        <v>Feb</v>
      </c>
      <c r="G28" s="2">
        <f t="shared" si="1"/>
        <v>2020</v>
      </c>
      <c r="H28" s="2">
        <f t="shared" si="2"/>
        <v>-433.13</v>
      </c>
    </row>
    <row r="29" spans="1:8" x14ac:dyDescent="0.25">
      <c r="A29" s="1">
        <v>43874</v>
      </c>
      <c r="B29" t="s">
        <v>44</v>
      </c>
      <c r="C29" t="s">
        <v>27</v>
      </c>
      <c r="D29">
        <v>294.31</v>
      </c>
      <c r="E29" t="s">
        <v>7</v>
      </c>
      <c r="F29" s="2" t="str">
        <f t="shared" si="0"/>
        <v>Feb</v>
      </c>
      <c r="G29" s="2">
        <f t="shared" si="1"/>
        <v>2020</v>
      </c>
      <c r="H29" s="2">
        <f t="shared" si="2"/>
        <v>-294.31</v>
      </c>
    </row>
    <row r="30" spans="1:8" x14ac:dyDescent="0.25">
      <c r="A30" s="1">
        <v>43876</v>
      </c>
      <c r="B30" t="s">
        <v>45</v>
      </c>
      <c r="C30" t="s">
        <v>20</v>
      </c>
      <c r="D30">
        <v>4009</v>
      </c>
      <c r="E30" t="s">
        <v>14</v>
      </c>
      <c r="F30" s="2" t="str">
        <f t="shared" si="0"/>
        <v>Feb</v>
      </c>
      <c r="G30" s="2">
        <f t="shared" si="1"/>
        <v>2020</v>
      </c>
      <c r="H30" s="2">
        <f t="shared" si="2"/>
        <v>4009</v>
      </c>
    </row>
    <row r="31" spans="1:8" x14ac:dyDescent="0.25">
      <c r="A31" s="1">
        <v>43877</v>
      </c>
      <c r="B31" t="s">
        <v>46</v>
      </c>
      <c r="C31" t="s">
        <v>17</v>
      </c>
      <c r="D31">
        <v>730.37</v>
      </c>
      <c r="E31" t="s">
        <v>7</v>
      </c>
      <c r="F31" s="2" t="str">
        <f t="shared" si="0"/>
        <v>Feb</v>
      </c>
      <c r="G31" s="2">
        <f t="shared" si="1"/>
        <v>2020</v>
      </c>
      <c r="H31" s="2">
        <f t="shared" si="2"/>
        <v>-730.37</v>
      </c>
    </row>
    <row r="32" spans="1:8" x14ac:dyDescent="0.25">
      <c r="A32" s="1">
        <v>43877</v>
      </c>
      <c r="B32" t="s">
        <v>47</v>
      </c>
      <c r="C32" t="s">
        <v>9</v>
      </c>
      <c r="D32">
        <v>1023.96</v>
      </c>
      <c r="E32" t="s">
        <v>7</v>
      </c>
      <c r="F32" s="2" t="str">
        <f t="shared" si="0"/>
        <v>Feb</v>
      </c>
      <c r="G32" s="2">
        <f t="shared" si="1"/>
        <v>2020</v>
      </c>
      <c r="H32" s="2">
        <f t="shared" si="2"/>
        <v>-1023.96</v>
      </c>
    </row>
    <row r="33" spans="1:8" x14ac:dyDescent="0.25">
      <c r="A33" s="1">
        <v>43879</v>
      </c>
      <c r="B33" t="s">
        <v>48</v>
      </c>
      <c r="C33" t="s">
        <v>13</v>
      </c>
      <c r="D33">
        <v>1398</v>
      </c>
      <c r="E33" t="s">
        <v>14</v>
      </c>
      <c r="F33" s="2" t="str">
        <f t="shared" si="0"/>
        <v>Feb</v>
      </c>
      <c r="G33" s="2">
        <f t="shared" si="1"/>
        <v>2020</v>
      </c>
      <c r="H33" s="2">
        <f t="shared" si="2"/>
        <v>1398</v>
      </c>
    </row>
    <row r="34" spans="1:8" x14ac:dyDescent="0.25">
      <c r="A34" s="1">
        <v>43880</v>
      </c>
      <c r="B34" t="s">
        <v>49</v>
      </c>
      <c r="C34" t="s">
        <v>13</v>
      </c>
      <c r="D34">
        <v>3958</v>
      </c>
      <c r="E34" t="s">
        <v>14</v>
      </c>
      <c r="F34" s="2" t="str">
        <f t="shared" si="0"/>
        <v>Feb</v>
      </c>
      <c r="G34" s="2">
        <f t="shared" si="1"/>
        <v>2020</v>
      </c>
      <c r="H34" s="2">
        <f t="shared" si="2"/>
        <v>3958</v>
      </c>
    </row>
    <row r="35" spans="1:8" x14ac:dyDescent="0.25">
      <c r="A35" s="1">
        <v>43881</v>
      </c>
      <c r="B35" t="s">
        <v>50</v>
      </c>
      <c r="C35" t="s">
        <v>17</v>
      </c>
      <c r="D35">
        <v>769.42</v>
      </c>
      <c r="E35" t="s">
        <v>7</v>
      </c>
      <c r="F35" s="2" t="str">
        <f t="shared" si="0"/>
        <v>Feb</v>
      </c>
      <c r="G35" s="2">
        <f t="shared" si="1"/>
        <v>2020</v>
      </c>
      <c r="H35" s="2">
        <f t="shared" si="2"/>
        <v>-769.42</v>
      </c>
    </row>
    <row r="36" spans="1:8" x14ac:dyDescent="0.25">
      <c r="A36" s="1">
        <v>43887</v>
      </c>
      <c r="B36" t="s">
        <v>51</v>
      </c>
      <c r="C36" t="s">
        <v>35</v>
      </c>
      <c r="D36">
        <v>1942.45</v>
      </c>
      <c r="E36" t="s">
        <v>7</v>
      </c>
      <c r="F36" s="2" t="str">
        <f t="shared" si="0"/>
        <v>Feb</v>
      </c>
      <c r="G36" s="2">
        <f t="shared" si="1"/>
        <v>2020</v>
      </c>
      <c r="H36" s="2">
        <f t="shared" si="2"/>
        <v>-1942.45</v>
      </c>
    </row>
    <row r="37" spans="1:8" x14ac:dyDescent="0.25">
      <c r="A37" s="1">
        <v>43888</v>
      </c>
      <c r="B37" t="s">
        <v>52</v>
      </c>
      <c r="C37" t="s">
        <v>6</v>
      </c>
      <c r="D37">
        <v>1363.76</v>
      </c>
      <c r="E37" t="s">
        <v>7</v>
      </c>
      <c r="F37" s="2" t="str">
        <f t="shared" si="0"/>
        <v>Feb</v>
      </c>
      <c r="G37" s="2">
        <f t="shared" si="1"/>
        <v>2020</v>
      </c>
      <c r="H37" s="2">
        <f t="shared" si="2"/>
        <v>-1363.76</v>
      </c>
    </row>
    <row r="38" spans="1:8" x14ac:dyDescent="0.25">
      <c r="A38" s="1">
        <v>43889</v>
      </c>
      <c r="B38" t="s">
        <v>53</v>
      </c>
      <c r="C38" t="s">
        <v>20</v>
      </c>
      <c r="D38">
        <v>3286</v>
      </c>
      <c r="E38" t="s">
        <v>14</v>
      </c>
      <c r="F38" s="2" t="str">
        <f t="shared" si="0"/>
        <v>Feb</v>
      </c>
      <c r="G38" s="2">
        <f t="shared" si="1"/>
        <v>2020</v>
      </c>
      <c r="H38" s="2">
        <f t="shared" si="2"/>
        <v>3286</v>
      </c>
    </row>
    <row r="39" spans="1:8" x14ac:dyDescent="0.25">
      <c r="A39" s="1">
        <v>43889</v>
      </c>
      <c r="B39" t="s">
        <v>54</v>
      </c>
      <c r="C39" t="s">
        <v>20</v>
      </c>
      <c r="D39">
        <v>1795</v>
      </c>
      <c r="E39" t="s">
        <v>14</v>
      </c>
      <c r="F39" s="2" t="str">
        <f t="shared" si="0"/>
        <v>Feb</v>
      </c>
      <c r="G39" s="2">
        <f t="shared" si="1"/>
        <v>2020</v>
      </c>
      <c r="H39" s="2">
        <f t="shared" si="2"/>
        <v>1795</v>
      </c>
    </row>
    <row r="40" spans="1:8" x14ac:dyDescent="0.25">
      <c r="A40" s="1">
        <v>43890</v>
      </c>
      <c r="B40" t="s">
        <v>55</v>
      </c>
      <c r="C40" t="s">
        <v>35</v>
      </c>
      <c r="D40">
        <v>1944.06</v>
      </c>
      <c r="E40" t="s">
        <v>7</v>
      </c>
      <c r="F40" s="2" t="str">
        <f t="shared" si="0"/>
        <v>Feb</v>
      </c>
      <c r="G40" s="2">
        <f t="shared" si="1"/>
        <v>2020</v>
      </c>
      <c r="H40" s="2">
        <f t="shared" si="2"/>
        <v>-1944.06</v>
      </c>
    </row>
    <row r="41" spans="1:8" x14ac:dyDescent="0.25">
      <c r="A41" s="1">
        <v>43893</v>
      </c>
      <c r="B41" t="s">
        <v>56</v>
      </c>
      <c r="C41" t="s">
        <v>11</v>
      </c>
      <c r="D41">
        <v>1742.33</v>
      </c>
      <c r="E41" t="s">
        <v>7</v>
      </c>
      <c r="F41" s="2" t="str">
        <f t="shared" si="0"/>
        <v>Mar</v>
      </c>
      <c r="G41" s="2">
        <f t="shared" si="1"/>
        <v>2020</v>
      </c>
      <c r="H41" s="2">
        <f t="shared" si="2"/>
        <v>-1742.33</v>
      </c>
    </row>
    <row r="42" spans="1:8" x14ac:dyDescent="0.25">
      <c r="A42" s="1">
        <v>43894</v>
      </c>
      <c r="B42" t="s">
        <v>57</v>
      </c>
      <c r="C42" t="s">
        <v>22</v>
      </c>
      <c r="D42">
        <v>314.14999999999998</v>
      </c>
      <c r="E42" t="s">
        <v>7</v>
      </c>
      <c r="F42" s="2" t="str">
        <f t="shared" si="0"/>
        <v>Mar</v>
      </c>
      <c r="G42" s="2">
        <f t="shared" si="1"/>
        <v>2020</v>
      </c>
      <c r="H42" s="2">
        <f t="shared" si="2"/>
        <v>-314.14999999999998</v>
      </c>
    </row>
    <row r="43" spans="1:8" x14ac:dyDescent="0.25">
      <c r="A43" s="1">
        <v>43894</v>
      </c>
      <c r="B43" t="s">
        <v>58</v>
      </c>
      <c r="C43" t="s">
        <v>6</v>
      </c>
      <c r="D43">
        <v>1201.9000000000001</v>
      </c>
      <c r="E43" t="s">
        <v>7</v>
      </c>
      <c r="F43" s="2" t="str">
        <f t="shared" si="0"/>
        <v>Mar</v>
      </c>
      <c r="G43" s="2">
        <f t="shared" si="1"/>
        <v>2020</v>
      </c>
      <c r="H43" s="2">
        <f t="shared" si="2"/>
        <v>-1201.9000000000001</v>
      </c>
    </row>
    <row r="44" spans="1:8" x14ac:dyDescent="0.25">
      <c r="A44" s="1">
        <v>43899</v>
      </c>
      <c r="B44" t="s">
        <v>59</v>
      </c>
      <c r="C44" t="s">
        <v>11</v>
      </c>
      <c r="D44">
        <v>1858.91</v>
      </c>
      <c r="E44" t="s">
        <v>7</v>
      </c>
      <c r="F44" s="2" t="str">
        <f t="shared" si="0"/>
        <v>Mar</v>
      </c>
      <c r="G44" s="2">
        <f t="shared" si="1"/>
        <v>2020</v>
      </c>
      <c r="H44" s="2">
        <f t="shared" si="2"/>
        <v>-1858.91</v>
      </c>
    </row>
    <row r="45" spans="1:8" x14ac:dyDescent="0.25">
      <c r="A45" s="1">
        <v>43899</v>
      </c>
      <c r="B45" t="s">
        <v>60</v>
      </c>
      <c r="C45" t="s">
        <v>35</v>
      </c>
      <c r="D45">
        <v>486.51</v>
      </c>
      <c r="E45" t="s">
        <v>7</v>
      </c>
      <c r="F45" s="2" t="str">
        <f t="shared" si="0"/>
        <v>Mar</v>
      </c>
      <c r="G45" s="2">
        <f t="shared" si="1"/>
        <v>2020</v>
      </c>
      <c r="H45" s="2">
        <f t="shared" si="2"/>
        <v>-486.51</v>
      </c>
    </row>
    <row r="46" spans="1:8" x14ac:dyDescent="0.25">
      <c r="A46" s="1">
        <v>43901</v>
      </c>
      <c r="B46" t="s">
        <v>61</v>
      </c>
      <c r="C46" t="s">
        <v>11</v>
      </c>
      <c r="D46">
        <v>180.45</v>
      </c>
      <c r="E46" t="s">
        <v>7</v>
      </c>
      <c r="F46" s="2" t="str">
        <f t="shared" si="0"/>
        <v>Mar</v>
      </c>
      <c r="G46" s="2">
        <f t="shared" si="1"/>
        <v>2020</v>
      </c>
      <c r="H46" s="2">
        <f t="shared" si="2"/>
        <v>-180.45</v>
      </c>
    </row>
    <row r="47" spans="1:8" x14ac:dyDescent="0.25">
      <c r="A47" s="1">
        <v>43901</v>
      </c>
      <c r="B47" t="s">
        <v>62</v>
      </c>
      <c r="C47" t="s">
        <v>11</v>
      </c>
      <c r="D47">
        <v>1956.19</v>
      </c>
      <c r="E47" t="s">
        <v>7</v>
      </c>
      <c r="F47" s="2" t="str">
        <f t="shared" si="0"/>
        <v>Mar</v>
      </c>
      <c r="G47" s="2">
        <f t="shared" si="1"/>
        <v>2020</v>
      </c>
      <c r="H47" s="2">
        <f t="shared" si="2"/>
        <v>-1956.19</v>
      </c>
    </row>
    <row r="48" spans="1:8" x14ac:dyDescent="0.25">
      <c r="A48" s="1">
        <v>43902</v>
      </c>
      <c r="B48" t="s">
        <v>63</v>
      </c>
      <c r="C48" t="s">
        <v>9</v>
      </c>
      <c r="D48">
        <v>265.5</v>
      </c>
      <c r="E48" t="s">
        <v>7</v>
      </c>
      <c r="F48" s="2" t="str">
        <f t="shared" si="0"/>
        <v>Mar</v>
      </c>
      <c r="G48" s="2">
        <f t="shared" si="1"/>
        <v>2020</v>
      </c>
      <c r="H48" s="2">
        <f t="shared" si="2"/>
        <v>-265.5</v>
      </c>
    </row>
    <row r="49" spans="1:8" x14ac:dyDescent="0.25">
      <c r="A49" s="1">
        <v>43902</v>
      </c>
      <c r="B49" t="s">
        <v>64</v>
      </c>
      <c r="C49" t="s">
        <v>9</v>
      </c>
      <c r="D49">
        <v>537.46</v>
      </c>
      <c r="E49" t="s">
        <v>7</v>
      </c>
      <c r="F49" s="2" t="str">
        <f t="shared" si="0"/>
        <v>Mar</v>
      </c>
      <c r="G49" s="2">
        <f t="shared" si="1"/>
        <v>2020</v>
      </c>
      <c r="H49" s="2">
        <f t="shared" si="2"/>
        <v>-537.46</v>
      </c>
    </row>
    <row r="50" spans="1:8" x14ac:dyDescent="0.25">
      <c r="A50" s="1">
        <v>43904</v>
      </c>
      <c r="B50" t="s">
        <v>65</v>
      </c>
      <c r="C50" t="s">
        <v>17</v>
      </c>
      <c r="D50">
        <v>1929.08</v>
      </c>
      <c r="E50" t="s">
        <v>7</v>
      </c>
      <c r="F50" s="2" t="str">
        <f t="shared" si="0"/>
        <v>Mar</v>
      </c>
      <c r="G50" s="2">
        <f t="shared" si="1"/>
        <v>2020</v>
      </c>
      <c r="H50" s="2">
        <f t="shared" si="2"/>
        <v>-1929.08</v>
      </c>
    </row>
    <row r="51" spans="1:8" x14ac:dyDescent="0.25">
      <c r="A51" s="1">
        <v>43905</v>
      </c>
      <c r="B51" t="s">
        <v>66</v>
      </c>
      <c r="C51" t="s">
        <v>22</v>
      </c>
      <c r="D51">
        <v>1428.77</v>
      </c>
      <c r="E51" t="s">
        <v>7</v>
      </c>
      <c r="F51" s="2" t="str">
        <f t="shared" si="0"/>
        <v>Mar</v>
      </c>
      <c r="G51" s="2">
        <f t="shared" si="1"/>
        <v>2020</v>
      </c>
      <c r="H51" s="2">
        <f t="shared" si="2"/>
        <v>-1428.77</v>
      </c>
    </row>
    <row r="52" spans="1:8" x14ac:dyDescent="0.25">
      <c r="A52" s="1">
        <v>43908</v>
      </c>
      <c r="B52" t="s">
        <v>67</v>
      </c>
      <c r="C52" t="s">
        <v>25</v>
      </c>
      <c r="D52">
        <v>881.82</v>
      </c>
      <c r="E52" t="s">
        <v>7</v>
      </c>
      <c r="F52" s="2" t="str">
        <f t="shared" si="0"/>
        <v>Mar</v>
      </c>
      <c r="G52" s="2">
        <f t="shared" si="1"/>
        <v>2020</v>
      </c>
      <c r="H52" s="2">
        <f t="shared" si="2"/>
        <v>-881.82</v>
      </c>
    </row>
    <row r="53" spans="1:8" x14ac:dyDescent="0.25">
      <c r="A53" s="1">
        <v>43911</v>
      </c>
      <c r="B53" t="s">
        <v>68</v>
      </c>
      <c r="C53" t="s">
        <v>11</v>
      </c>
      <c r="D53">
        <v>503.33</v>
      </c>
      <c r="E53" t="s">
        <v>7</v>
      </c>
      <c r="F53" s="2" t="str">
        <f t="shared" si="0"/>
        <v>Mar</v>
      </c>
      <c r="G53" s="2">
        <f t="shared" si="1"/>
        <v>2020</v>
      </c>
      <c r="H53" s="2">
        <f t="shared" si="2"/>
        <v>-503.33</v>
      </c>
    </row>
    <row r="54" spans="1:8" x14ac:dyDescent="0.25">
      <c r="A54" s="1">
        <v>43913</v>
      </c>
      <c r="B54" t="s">
        <v>69</v>
      </c>
      <c r="C54" t="s">
        <v>13</v>
      </c>
      <c r="D54">
        <v>2385</v>
      </c>
      <c r="E54" t="s">
        <v>14</v>
      </c>
      <c r="F54" s="2" t="str">
        <f t="shared" si="0"/>
        <v>Mar</v>
      </c>
      <c r="G54" s="2">
        <f t="shared" si="1"/>
        <v>2020</v>
      </c>
      <c r="H54" s="2">
        <f t="shared" si="2"/>
        <v>2385</v>
      </c>
    </row>
    <row r="55" spans="1:8" x14ac:dyDescent="0.25">
      <c r="A55" s="1">
        <v>43913</v>
      </c>
      <c r="B55" t="s">
        <v>70</v>
      </c>
      <c r="C55" t="s">
        <v>6</v>
      </c>
      <c r="D55">
        <v>151.28</v>
      </c>
      <c r="E55" t="s">
        <v>7</v>
      </c>
      <c r="F55" s="2" t="str">
        <f t="shared" si="0"/>
        <v>Mar</v>
      </c>
      <c r="G55" s="2">
        <f t="shared" si="1"/>
        <v>2020</v>
      </c>
      <c r="H55" s="2">
        <f t="shared" si="2"/>
        <v>-151.28</v>
      </c>
    </row>
    <row r="56" spans="1:8" x14ac:dyDescent="0.25">
      <c r="A56" s="1">
        <v>43914</v>
      </c>
      <c r="B56" t="s">
        <v>71</v>
      </c>
      <c r="C56" t="s">
        <v>22</v>
      </c>
      <c r="D56">
        <v>144.13</v>
      </c>
      <c r="E56" t="s">
        <v>7</v>
      </c>
      <c r="F56" s="2" t="str">
        <f t="shared" si="0"/>
        <v>Mar</v>
      </c>
      <c r="G56" s="2">
        <f t="shared" si="1"/>
        <v>2020</v>
      </c>
      <c r="H56" s="2">
        <f t="shared" si="2"/>
        <v>-144.13</v>
      </c>
    </row>
    <row r="57" spans="1:8" x14ac:dyDescent="0.25">
      <c r="A57" s="1">
        <v>43918</v>
      </c>
      <c r="B57" t="s">
        <v>72</v>
      </c>
      <c r="C57" t="s">
        <v>20</v>
      </c>
      <c r="D57">
        <v>1080</v>
      </c>
      <c r="E57" t="s">
        <v>14</v>
      </c>
      <c r="F57" s="2" t="str">
        <f t="shared" si="0"/>
        <v>Mar</v>
      </c>
      <c r="G57" s="2">
        <f t="shared" si="1"/>
        <v>2020</v>
      </c>
      <c r="H57" s="2">
        <f t="shared" si="2"/>
        <v>1080</v>
      </c>
    </row>
    <row r="58" spans="1:8" x14ac:dyDescent="0.25">
      <c r="A58" s="1">
        <v>43922</v>
      </c>
      <c r="B58" t="s">
        <v>73</v>
      </c>
      <c r="C58" t="s">
        <v>35</v>
      </c>
      <c r="D58">
        <v>1341.27</v>
      </c>
      <c r="E58" t="s">
        <v>7</v>
      </c>
      <c r="F58" s="2" t="str">
        <f t="shared" si="0"/>
        <v>Apr</v>
      </c>
      <c r="G58" s="2">
        <f t="shared" si="1"/>
        <v>2020</v>
      </c>
      <c r="H58" s="2">
        <f t="shared" si="2"/>
        <v>-1341.27</v>
      </c>
    </row>
    <row r="59" spans="1:8" x14ac:dyDescent="0.25">
      <c r="A59" s="1">
        <v>43926</v>
      </c>
      <c r="B59" t="s">
        <v>74</v>
      </c>
      <c r="C59" t="s">
        <v>9</v>
      </c>
      <c r="D59">
        <v>1449.47</v>
      </c>
      <c r="E59" t="s">
        <v>7</v>
      </c>
      <c r="F59" s="2" t="str">
        <f t="shared" si="0"/>
        <v>Apr</v>
      </c>
      <c r="G59" s="2">
        <f t="shared" si="1"/>
        <v>2020</v>
      </c>
      <c r="H59" s="2">
        <f t="shared" si="2"/>
        <v>-1449.47</v>
      </c>
    </row>
    <row r="60" spans="1:8" x14ac:dyDescent="0.25">
      <c r="A60" s="1">
        <v>43927</v>
      </c>
      <c r="B60" t="s">
        <v>75</v>
      </c>
      <c r="C60" t="s">
        <v>27</v>
      </c>
      <c r="D60">
        <v>493.56</v>
      </c>
      <c r="E60" t="s">
        <v>7</v>
      </c>
      <c r="F60" s="2" t="str">
        <f t="shared" si="0"/>
        <v>Apr</v>
      </c>
      <c r="G60" s="2">
        <f t="shared" si="1"/>
        <v>2020</v>
      </c>
      <c r="H60" s="2">
        <f t="shared" si="2"/>
        <v>-493.56</v>
      </c>
    </row>
    <row r="61" spans="1:8" x14ac:dyDescent="0.25">
      <c r="A61" s="1">
        <v>43927</v>
      </c>
      <c r="B61" t="s">
        <v>76</v>
      </c>
      <c r="C61" t="s">
        <v>17</v>
      </c>
      <c r="D61">
        <v>388.92</v>
      </c>
      <c r="E61" t="s">
        <v>7</v>
      </c>
      <c r="F61" s="2" t="str">
        <f t="shared" si="0"/>
        <v>Apr</v>
      </c>
      <c r="G61" s="2">
        <f t="shared" si="1"/>
        <v>2020</v>
      </c>
      <c r="H61" s="2">
        <f t="shared" si="2"/>
        <v>-388.92</v>
      </c>
    </row>
    <row r="62" spans="1:8" x14ac:dyDescent="0.25">
      <c r="A62" s="1">
        <v>43931</v>
      </c>
      <c r="B62" t="s">
        <v>77</v>
      </c>
      <c r="C62" t="s">
        <v>20</v>
      </c>
      <c r="D62">
        <v>3402</v>
      </c>
      <c r="E62" t="s">
        <v>14</v>
      </c>
      <c r="F62" s="2" t="str">
        <f t="shared" si="0"/>
        <v>Apr</v>
      </c>
      <c r="G62" s="2">
        <f t="shared" si="1"/>
        <v>2020</v>
      </c>
      <c r="H62" s="2">
        <f t="shared" si="2"/>
        <v>3402</v>
      </c>
    </row>
    <row r="63" spans="1:8" x14ac:dyDescent="0.25">
      <c r="A63" s="1">
        <v>43938</v>
      </c>
      <c r="B63" t="s">
        <v>78</v>
      </c>
      <c r="C63" t="s">
        <v>27</v>
      </c>
      <c r="D63">
        <v>1729.04</v>
      </c>
      <c r="E63" t="s">
        <v>7</v>
      </c>
      <c r="F63" s="2" t="str">
        <f t="shared" si="0"/>
        <v>Apr</v>
      </c>
      <c r="G63" s="2">
        <f t="shared" si="1"/>
        <v>2020</v>
      </c>
      <c r="H63" s="2">
        <f t="shared" si="2"/>
        <v>-1729.04</v>
      </c>
    </row>
    <row r="64" spans="1:8" x14ac:dyDescent="0.25">
      <c r="A64" s="1">
        <v>43938</v>
      </c>
      <c r="B64" t="s">
        <v>79</v>
      </c>
      <c r="C64" t="s">
        <v>13</v>
      </c>
      <c r="D64">
        <v>996</v>
      </c>
      <c r="E64" t="s">
        <v>14</v>
      </c>
      <c r="F64" s="2" t="str">
        <f t="shared" si="0"/>
        <v>Apr</v>
      </c>
      <c r="G64" s="2">
        <f t="shared" si="1"/>
        <v>2020</v>
      </c>
      <c r="H64" s="2">
        <f t="shared" si="2"/>
        <v>996</v>
      </c>
    </row>
    <row r="65" spans="1:8" x14ac:dyDescent="0.25">
      <c r="A65" s="1">
        <v>43939</v>
      </c>
      <c r="B65" t="s">
        <v>80</v>
      </c>
      <c r="C65" t="s">
        <v>25</v>
      </c>
      <c r="D65">
        <v>1603.18</v>
      </c>
      <c r="E65" t="s">
        <v>7</v>
      </c>
      <c r="F65" s="2" t="str">
        <f t="shared" si="0"/>
        <v>Apr</v>
      </c>
      <c r="G65" s="2">
        <f t="shared" si="1"/>
        <v>2020</v>
      </c>
      <c r="H65" s="2">
        <f t="shared" si="2"/>
        <v>-1603.18</v>
      </c>
    </row>
    <row r="66" spans="1:8" x14ac:dyDescent="0.25">
      <c r="A66" s="1">
        <v>43943</v>
      </c>
      <c r="B66" t="s">
        <v>81</v>
      </c>
      <c r="C66" t="s">
        <v>13</v>
      </c>
      <c r="D66">
        <v>2058</v>
      </c>
      <c r="E66" t="s">
        <v>14</v>
      </c>
      <c r="F66" s="2" t="str">
        <f t="shared" ref="F66:F129" si="3">TEXT(A66,"mmm")</f>
        <v>Apr</v>
      </c>
      <c r="G66" s="2">
        <f t="shared" ref="G66:G129" si="4">YEAR(A66)</f>
        <v>2020</v>
      </c>
      <c r="H66" s="2">
        <f t="shared" ref="H66:H129" si="5">IF(E66="Income",D66,-D66)</f>
        <v>2058</v>
      </c>
    </row>
    <row r="67" spans="1:8" x14ac:dyDescent="0.25">
      <c r="A67" s="1">
        <v>43944</v>
      </c>
      <c r="B67" t="s">
        <v>82</v>
      </c>
      <c r="C67" t="s">
        <v>9</v>
      </c>
      <c r="D67">
        <v>849.54</v>
      </c>
      <c r="E67" t="s">
        <v>7</v>
      </c>
      <c r="F67" s="2" t="str">
        <f t="shared" si="3"/>
        <v>Apr</v>
      </c>
      <c r="G67" s="2">
        <f t="shared" si="4"/>
        <v>2020</v>
      </c>
      <c r="H67" s="2">
        <f t="shared" si="5"/>
        <v>-849.54</v>
      </c>
    </row>
    <row r="68" spans="1:8" x14ac:dyDescent="0.25">
      <c r="A68" s="1">
        <v>43946</v>
      </c>
      <c r="B68" t="s">
        <v>83</v>
      </c>
      <c r="C68" t="s">
        <v>22</v>
      </c>
      <c r="D68">
        <v>1750.23</v>
      </c>
      <c r="E68" t="s">
        <v>7</v>
      </c>
      <c r="F68" s="2" t="str">
        <f t="shared" si="3"/>
        <v>Apr</v>
      </c>
      <c r="G68" s="2">
        <f t="shared" si="4"/>
        <v>2020</v>
      </c>
      <c r="H68" s="2">
        <f t="shared" si="5"/>
        <v>-1750.23</v>
      </c>
    </row>
    <row r="69" spans="1:8" x14ac:dyDescent="0.25">
      <c r="A69" s="1">
        <v>43947</v>
      </c>
      <c r="B69" t="s">
        <v>84</v>
      </c>
      <c r="C69" t="s">
        <v>13</v>
      </c>
      <c r="D69">
        <v>914</v>
      </c>
      <c r="E69" t="s">
        <v>14</v>
      </c>
      <c r="F69" s="2" t="str">
        <f t="shared" si="3"/>
        <v>Apr</v>
      </c>
      <c r="G69" s="2">
        <f t="shared" si="4"/>
        <v>2020</v>
      </c>
      <c r="H69" s="2">
        <f t="shared" si="5"/>
        <v>914</v>
      </c>
    </row>
    <row r="70" spans="1:8" x14ac:dyDescent="0.25">
      <c r="A70" s="1">
        <v>43947</v>
      </c>
      <c r="B70" t="s">
        <v>85</v>
      </c>
      <c r="C70" t="s">
        <v>6</v>
      </c>
      <c r="D70">
        <v>1938.3</v>
      </c>
      <c r="E70" t="s">
        <v>7</v>
      </c>
      <c r="F70" s="2" t="str">
        <f t="shared" si="3"/>
        <v>Apr</v>
      </c>
      <c r="G70" s="2">
        <f t="shared" si="4"/>
        <v>2020</v>
      </c>
      <c r="H70" s="2">
        <f t="shared" si="5"/>
        <v>-1938.3</v>
      </c>
    </row>
    <row r="71" spans="1:8" x14ac:dyDescent="0.25">
      <c r="A71" s="1">
        <v>43948</v>
      </c>
      <c r="B71" t="s">
        <v>86</v>
      </c>
      <c r="C71" t="s">
        <v>22</v>
      </c>
      <c r="D71">
        <v>340.96</v>
      </c>
      <c r="E71" t="s">
        <v>7</v>
      </c>
      <c r="F71" s="2" t="str">
        <f t="shared" si="3"/>
        <v>Apr</v>
      </c>
      <c r="G71" s="2">
        <f t="shared" si="4"/>
        <v>2020</v>
      </c>
      <c r="H71" s="2">
        <f t="shared" si="5"/>
        <v>-340.96</v>
      </c>
    </row>
    <row r="72" spans="1:8" x14ac:dyDescent="0.25">
      <c r="A72" s="1">
        <v>43948</v>
      </c>
      <c r="B72" t="s">
        <v>87</v>
      </c>
      <c r="C72" t="s">
        <v>22</v>
      </c>
      <c r="D72">
        <v>1730.65</v>
      </c>
      <c r="E72" t="s">
        <v>7</v>
      </c>
      <c r="F72" s="2" t="str">
        <f t="shared" si="3"/>
        <v>Apr</v>
      </c>
      <c r="G72" s="2">
        <f t="shared" si="4"/>
        <v>2020</v>
      </c>
      <c r="H72" s="2">
        <f t="shared" si="5"/>
        <v>-1730.65</v>
      </c>
    </row>
    <row r="73" spans="1:8" x14ac:dyDescent="0.25">
      <c r="A73" s="1">
        <v>43950</v>
      </c>
      <c r="B73" t="s">
        <v>88</v>
      </c>
      <c r="C73" t="s">
        <v>9</v>
      </c>
      <c r="D73">
        <v>764.16</v>
      </c>
      <c r="E73" t="s">
        <v>7</v>
      </c>
      <c r="F73" s="2" t="str">
        <f t="shared" si="3"/>
        <v>Apr</v>
      </c>
      <c r="G73" s="2">
        <f t="shared" si="4"/>
        <v>2020</v>
      </c>
      <c r="H73" s="2">
        <f t="shared" si="5"/>
        <v>-764.16</v>
      </c>
    </row>
    <row r="74" spans="1:8" x14ac:dyDescent="0.25">
      <c r="A74" s="1">
        <v>43951</v>
      </c>
      <c r="B74" t="s">
        <v>89</v>
      </c>
      <c r="C74" t="s">
        <v>35</v>
      </c>
      <c r="D74">
        <v>1853.77</v>
      </c>
      <c r="E74" t="s">
        <v>7</v>
      </c>
      <c r="F74" s="2" t="str">
        <f t="shared" si="3"/>
        <v>Apr</v>
      </c>
      <c r="G74" s="2">
        <f t="shared" si="4"/>
        <v>2020</v>
      </c>
      <c r="H74" s="2">
        <f t="shared" si="5"/>
        <v>-1853.77</v>
      </c>
    </row>
    <row r="75" spans="1:8" x14ac:dyDescent="0.25">
      <c r="A75" s="1">
        <v>43952</v>
      </c>
      <c r="B75" t="s">
        <v>90</v>
      </c>
      <c r="C75" t="s">
        <v>35</v>
      </c>
      <c r="D75">
        <v>851.78</v>
      </c>
      <c r="E75" t="s">
        <v>7</v>
      </c>
      <c r="F75" s="2" t="str">
        <f t="shared" si="3"/>
        <v>May</v>
      </c>
      <c r="G75" s="2">
        <f t="shared" si="4"/>
        <v>2020</v>
      </c>
      <c r="H75" s="2">
        <f t="shared" si="5"/>
        <v>-851.78</v>
      </c>
    </row>
    <row r="76" spans="1:8" x14ac:dyDescent="0.25">
      <c r="A76" s="1">
        <v>43954</v>
      </c>
      <c r="B76" t="s">
        <v>91</v>
      </c>
      <c r="C76" t="s">
        <v>27</v>
      </c>
      <c r="D76">
        <v>318.05</v>
      </c>
      <c r="E76" t="s">
        <v>7</v>
      </c>
      <c r="F76" s="2" t="str">
        <f t="shared" si="3"/>
        <v>May</v>
      </c>
      <c r="G76" s="2">
        <f t="shared" si="4"/>
        <v>2020</v>
      </c>
      <c r="H76" s="2">
        <f t="shared" si="5"/>
        <v>-318.05</v>
      </c>
    </row>
    <row r="77" spans="1:8" x14ac:dyDescent="0.25">
      <c r="A77" s="1">
        <v>43954</v>
      </c>
      <c r="B77" t="s">
        <v>92</v>
      </c>
      <c r="C77" t="s">
        <v>6</v>
      </c>
      <c r="D77">
        <v>1162.57</v>
      </c>
      <c r="E77" t="s">
        <v>7</v>
      </c>
      <c r="F77" s="2" t="str">
        <f t="shared" si="3"/>
        <v>May</v>
      </c>
      <c r="G77" s="2">
        <f t="shared" si="4"/>
        <v>2020</v>
      </c>
      <c r="H77" s="2">
        <f t="shared" si="5"/>
        <v>-1162.57</v>
      </c>
    </row>
    <row r="78" spans="1:8" x14ac:dyDescent="0.25">
      <c r="A78" s="1">
        <v>43956</v>
      </c>
      <c r="B78" t="s">
        <v>93</v>
      </c>
      <c r="C78" t="s">
        <v>25</v>
      </c>
      <c r="D78">
        <v>123.76</v>
      </c>
      <c r="E78" t="s">
        <v>7</v>
      </c>
      <c r="F78" s="2" t="str">
        <f t="shared" si="3"/>
        <v>May</v>
      </c>
      <c r="G78" s="2">
        <f t="shared" si="4"/>
        <v>2020</v>
      </c>
      <c r="H78" s="2">
        <f t="shared" si="5"/>
        <v>-123.76</v>
      </c>
    </row>
    <row r="79" spans="1:8" x14ac:dyDescent="0.25">
      <c r="A79" s="1">
        <v>43957</v>
      </c>
      <c r="B79" t="s">
        <v>94</v>
      </c>
      <c r="C79" t="s">
        <v>9</v>
      </c>
      <c r="D79">
        <v>123.19</v>
      </c>
      <c r="E79" t="s">
        <v>7</v>
      </c>
      <c r="F79" s="2" t="str">
        <f t="shared" si="3"/>
        <v>May</v>
      </c>
      <c r="G79" s="2">
        <f t="shared" si="4"/>
        <v>2020</v>
      </c>
      <c r="H79" s="2">
        <f t="shared" si="5"/>
        <v>-123.19</v>
      </c>
    </row>
    <row r="80" spans="1:8" x14ac:dyDescent="0.25">
      <c r="A80" s="1">
        <v>43957</v>
      </c>
      <c r="B80" t="s">
        <v>95</v>
      </c>
      <c r="C80" t="s">
        <v>9</v>
      </c>
      <c r="D80">
        <v>146.36000000000001</v>
      </c>
      <c r="E80" t="s">
        <v>7</v>
      </c>
      <c r="F80" s="2" t="str">
        <f t="shared" si="3"/>
        <v>May</v>
      </c>
      <c r="G80" s="2">
        <f t="shared" si="4"/>
        <v>2020</v>
      </c>
      <c r="H80" s="2">
        <f t="shared" si="5"/>
        <v>-146.36000000000001</v>
      </c>
    </row>
    <row r="81" spans="1:8" x14ac:dyDescent="0.25">
      <c r="A81" s="1">
        <v>43958</v>
      </c>
      <c r="B81" t="s">
        <v>96</v>
      </c>
      <c r="C81" t="s">
        <v>13</v>
      </c>
      <c r="D81">
        <v>3807</v>
      </c>
      <c r="E81" t="s">
        <v>14</v>
      </c>
      <c r="F81" s="2" t="str">
        <f t="shared" si="3"/>
        <v>May</v>
      </c>
      <c r="G81" s="2">
        <f t="shared" si="4"/>
        <v>2020</v>
      </c>
      <c r="H81" s="2">
        <f t="shared" si="5"/>
        <v>3807</v>
      </c>
    </row>
    <row r="82" spans="1:8" x14ac:dyDescent="0.25">
      <c r="A82" s="1">
        <v>43962</v>
      </c>
      <c r="B82" t="s">
        <v>97</v>
      </c>
      <c r="C82" t="s">
        <v>13</v>
      </c>
      <c r="D82">
        <v>825</v>
      </c>
      <c r="E82" t="s">
        <v>14</v>
      </c>
      <c r="F82" s="2" t="str">
        <f t="shared" si="3"/>
        <v>May</v>
      </c>
      <c r="G82" s="2">
        <f t="shared" si="4"/>
        <v>2020</v>
      </c>
      <c r="H82" s="2">
        <f t="shared" si="5"/>
        <v>825</v>
      </c>
    </row>
    <row r="83" spans="1:8" x14ac:dyDescent="0.25">
      <c r="A83" s="1">
        <v>43963</v>
      </c>
      <c r="B83" t="s">
        <v>98</v>
      </c>
      <c r="C83" t="s">
        <v>17</v>
      </c>
      <c r="D83">
        <v>1318.17</v>
      </c>
      <c r="E83" t="s">
        <v>7</v>
      </c>
      <c r="F83" s="2" t="str">
        <f t="shared" si="3"/>
        <v>May</v>
      </c>
      <c r="G83" s="2">
        <f t="shared" si="4"/>
        <v>2020</v>
      </c>
      <c r="H83" s="2">
        <f t="shared" si="5"/>
        <v>-1318.17</v>
      </c>
    </row>
    <row r="84" spans="1:8" x14ac:dyDescent="0.25">
      <c r="A84" s="1">
        <v>43964</v>
      </c>
      <c r="B84" t="s">
        <v>99</v>
      </c>
      <c r="C84" t="s">
        <v>25</v>
      </c>
      <c r="D84">
        <v>1870.07</v>
      </c>
      <c r="E84" t="s">
        <v>7</v>
      </c>
      <c r="F84" s="2" t="str">
        <f t="shared" si="3"/>
        <v>May</v>
      </c>
      <c r="G84" s="2">
        <f t="shared" si="4"/>
        <v>2020</v>
      </c>
      <c r="H84" s="2">
        <f t="shared" si="5"/>
        <v>-1870.07</v>
      </c>
    </row>
    <row r="85" spans="1:8" x14ac:dyDescent="0.25">
      <c r="A85" s="1">
        <v>43965</v>
      </c>
      <c r="B85" t="s">
        <v>100</v>
      </c>
      <c r="C85" t="s">
        <v>25</v>
      </c>
      <c r="D85">
        <v>484.99</v>
      </c>
      <c r="E85" t="s">
        <v>7</v>
      </c>
      <c r="F85" s="2" t="str">
        <f t="shared" si="3"/>
        <v>May</v>
      </c>
      <c r="G85" s="2">
        <f t="shared" si="4"/>
        <v>2020</v>
      </c>
      <c r="H85" s="2">
        <f t="shared" si="5"/>
        <v>-484.99</v>
      </c>
    </row>
    <row r="86" spans="1:8" x14ac:dyDescent="0.25">
      <c r="A86" s="1">
        <v>43966</v>
      </c>
      <c r="B86" t="s">
        <v>101</v>
      </c>
      <c r="C86" t="s">
        <v>35</v>
      </c>
      <c r="D86">
        <v>919.88</v>
      </c>
      <c r="E86" t="s">
        <v>7</v>
      </c>
      <c r="F86" s="2" t="str">
        <f t="shared" si="3"/>
        <v>May</v>
      </c>
      <c r="G86" s="2">
        <f t="shared" si="4"/>
        <v>2020</v>
      </c>
      <c r="H86" s="2">
        <f t="shared" si="5"/>
        <v>-919.88</v>
      </c>
    </row>
    <row r="87" spans="1:8" x14ac:dyDescent="0.25">
      <c r="A87" s="1">
        <v>43967</v>
      </c>
      <c r="B87" t="s">
        <v>102</v>
      </c>
      <c r="C87" t="s">
        <v>11</v>
      </c>
      <c r="D87">
        <v>28.54</v>
      </c>
      <c r="E87" t="s">
        <v>7</v>
      </c>
      <c r="F87" s="2" t="str">
        <f t="shared" si="3"/>
        <v>May</v>
      </c>
      <c r="G87" s="2">
        <f t="shared" si="4"/>
        <v>2020</v>
      </c>
      <c r="H87" s="2">
        <f t="shared" si="5"/>
        <v>-28.54</v>
      </c>
    </row>
    <row r="88" spans="1:8" x14ac:dyDescent="0.25">
      <c r="A88" s="1">
        <v>43968</v>
      </c>
      <c r="B88" t="s">
        <v>103</v>
      </c>
      <c r="C88" t="s">
        <v>11</v>
      </c>
      <c r="D88">
        <v>155.79</v>
      </c>
      <c r="E88" t="s">
        <v>7</v>
      </c>
      <c r="F88" s="2" t="str">
        <f t="shared" si="3"/>
        <v>May</v>
      </c>
      <c r="G88" s="2">
        <f t="shared" si="4"/>
        <v>2020</v>
      </c>
      <c r="H88" s="2">
        <f t="shared" si="5"/>
        <v>-155.79</v>
      </c>
    </row>
    <row r="89" spans="1:8" x14ac:dyDescent="0.25">
      <c r="A89" s="1">
        <v>43970</v>
      </c>
      <c r="B89" t="s">
        <v>104</v>
      </c>
      <c r="C89" t="s">
        <v>35</v>
      </c>
      <c r="D89">
        <v>273.58999999999997</v>
      </c>
      <c r="E89" t="s">
        <v>7</v>
      </c>
      <c r="F89" s="2" t="str">
        <f t="shared" si="3"/>
        <v>May</v>
      </c>
      <c r="G89" s="2">
        <f t="shared" si="4"/>
        <v>2020</v>
      </c>
      <c r="H89" s="2">
        <f t="shared" si="5"/>
        <v>-273.58999999999997</v>
      </c>
    </row>
    <row r="90" spans="1:8" x14ac:dyDescent="0.25">
      <c r="A90" s="1">
        <v>43971</v>
      </c>
      <c r="B90" t="s">
        <v>105</v>
      </c>
      <c r="C90" t="s">
        <v>11</v>
      </c>
      <c r="D90">
        <v>1759.75</v>
      </c>
      <c r="E90" t="s">
        <v>7</v>
      </c>
      <c r="F90" s="2" t="str">
        <f t="shared" si="3"/>
        <v>May</v>
      </c>
      <c r="G90" s="2">
        <f t="shared" si="4"/>
        <v>2020</v>
      </c>
      <c r="H90" s="2">
        <f t="shared" si="5"/>
        <v>-1759.75</v>
      </c>
    </row>
    <row r="91" spans="1:8" x14ac:dyDescent="0.25">
      <c r="A91" s="1">
        <v>43972</v>
      </c>
      <c r="B91" t="s">
        <v>106</v>
      </c>
      <c r="C91" t="s">
        <v>9</v>
      </c>
      <c r="D91">
        <v>881.99</v>
      </c>
      <c r="E91" t="s">
        <v>7</v>
      </c>
      <c r="F91" s="2" t="str">
        <f t="shared" si="3"/>
        <v>May</v>
      </c>
      <c r="G91" s="2">
        <f t="shared" si="4"/>
        <v>2020</v>
      </c>
      <c r="H91" s="2">
        <f t="shared" si="5"/>
        <v>-881.99</v>
      </c>
    </row>
    <row r="92" spans="1:8" x14ac:dyDescent="0.25">
      <c r="A92" s="1">
        <v>43976</v>
      </c>
      <c r="B92" t="s">
        <v>107</v>
      </c>
      <c r="C92" t="s">
        <v>35</v>
      </c>
      <c r="D92">
        <v>1227.24</v>
      </c>
      <c r="E92" t="s">
        <v>7</v>
      </c>
      <c r="F92" s="2" t="str">
        <f t="shared" si="3"/>
        <v>May</v>
      </c>
      <c r="G92" s="2">
        <f t="shared" si="4"/>
        <v>2020</v>
      </c>
      <c r="H92" s="2">
        <f t="shared" si="5"/>
        <v>-1227.24</v>
      </c>
    </row>
    <row r="93" spans="1:8" x14ac:dyDescent="0.25">
      <c r="A93" s="1">
        <v>43978</v>
      </c>
      <c r="B93" t="s">
        <v>108</v>
      </c>
      <c r="C93" t="s">
        <v>6</v>
      </c>
      <c r="D93">
        <v>1339.05</v>
      </c>
      <c r="E93" t="s">
        <v>7</v>
      </c>
      <c r="F93" s="2" t="str">
        <f t="shared" si="3"/>
        <v>May</v>
      </c>
      <c r="G93" s="2">
        <f t="shared" si="4"/>
        <v>2020</v>
      </c>
      <c r="H93" s="2">
        <f t="shared" si="5"/>
        <v>-1339.05</v>
      </c>
    </row>
    <row r="94" spans="1:8" x14ac:dyDescent="0.25">
      <c r="A94" s="1">
        <v>43979</v>
      </c>
      <c r="B94" t="s">
        <v>109</v>
      </c>
      <c r="C94" t="s">
        <v>11</v>
      </c>
      <c r="D94">
        <v>1878.47</v>
      </c>
      <c r="E94" t="s">
        <v>7</v>
      </c>
      <c r="F94" s="2" t="str">
        <f t="shared" si="3"/>
        <v>May</v>
      </c>
      <c r="G94" s="2">
        <f t="shared" si="4"/>
        <v>2020</v>
      </c>
      <c r="H94" s="2">
        <f t="shared" si="5"/>
        <v>-1878.47</v>
      </c>
    </row>
    <row r="95" spans="1:8" x14ac:dyDescent="0.25">
      <c r="A95" s="1">
        <v>43980</v>
      </c>
      <c r="B95" t="s">
        <v>110</v>
      </c>
      <c r="C95" t="s">
        <v>13</v>
      </c>
      <c r="D95">
        <v>1376</v>
      </c>
      <c r="E95" t="s">
        <v>14</v>
      </c>
      <c r="F95" s="2" t="str">
        <f t="shared" si="3"/>
        <v>May</v>
      </c>
      <c r="G95" s="2">
        <f t="shared" si="4"/>
        <v>2020</v>
      </c>
      <c r="H95" s="2">
        <f t="shared" si="5"/>
        <v>1376</v>
      </c>
    </row>
    <row r="96" spans="1:8" x14ac:dyDescent="0.25">
      <c r="A96" s="1">
        <v>43981</v>
      </c>
      <c r="B96" t="s">
        <v>111</v>
      </c>
      <c r="C96" t="s">
        <v>9</v>
      </c>
      <c r="D96">
        <v>551.97</v>
      </c>
      <c r="E96" t="s">
        <v>7</v>
      </c>
      <c r="F96" s="2" t="str">
        <f t="shared" si="3"/>
        <v>May</v>
      </c>
      <c r="G96" s="2">
        <f t="shared" si="4"/>
        <v>2020</v>
      </c>
      <c r="H96" s="2">
        <f t="shared" si="5"/>
        <v>-551.97</v>
      </c>
    </row>
    <row r="97" spans="1:8" x14ac:dyDescent="0.25">
      <c r="A97" s="1">
        <v>43982</v>
      </c>
      <c r="B97" t="s">
        <v>112</v>
      </c>
      <c r="C97" t="s">
        <v>25</v>
      </c>
      <c r="D97">
        <v>415.16</v>
      </c>
      <c r="E97" t="s">
        <v>7</v>
      </c>
      <c r="F97" s="2" t="str">
        <f t="shared" si="3"/>
        <v>May</v>
      </c>
      <c r="G97" s="2">
        <f t="shared" si="4"/>
        <v>2020</v>
      </c>
      <c r="H97" s="2">
        <f t="shared" si="5"/>
        <v>-415.16</v>
      </c>
    </row>
    <row r="98" spans="1:8" x14ac:dyDescent="0.25">
      <c r="A98" s="1">
        <v>43982</v>
      </c>
      <c r="B98" t="s">
        <v>113</v>
      </c>
      <c r="C98" t="s">
        <v>35</v>
      </c>
      <c r="D98">
        <v>1015.76</v>
      </c>
      <c r="E98" t="s">
        <v>7</v>
      </c>
      <c r="F98" s="2" t="str">
        <f t="shared" si="3"/>
        <v>May</v>
      </c>
      <c r="G98" s="2">
        <f t="shared" si="4"/>
        <v>2020</v>
      </c>
      <c r="H98" s="2">
        <f t="shared" si="5"/>
        <v>-1015.76</v>
      </c>
    </row>
    <row r="99" spans="1:8" x14ac:dyDescent="0.25">
      <c r="A99" s="1">
        <v>43983</v>
      </c>
      <c r="B99" t="s">
        <v>114</v>
      </c>
      <c r="C99" t="s">
        <v>6</v>
      </c>
      <c r="D99">
        <v>193.67</v>
      </c>
      <c r="E99" t="s">
        <v>7</v>
      </c>
      <c r="F99" s="2" t="str">
        <f t="shared" si="3"/>
        <v>Jun</v>
      </c>
      <c r="G99" s="2">
        <f t="shared" si="4"/>
        <v>2020</v>
      </c>
      <c r="H99" s="2">
        <f t="shared" si="5"/>
        <v>-193.67</v>
      </c>
    </row>
    <row r="100" spans="1:8" x14ac:dyDescent="0.25">
      <c r="A100" s="1">
        <v>43984</v>
      </c>
      <c r="B100" t="s">
        <v>115</v>
      </c>
      <c r="C100" t="s">
        <v>35</v>
      </c>
      <c r="D100">
        <v>97.73</v>
      </c>
      <c r="E100" t="s">
        <v>7</v>
      </c>
      <c r="F100" s="2" t="str">
        <f t="shared" si="3"/>
        <v>Jun</v>
      </c>
      <c r="G100" s="2">
        <f t="shared" si="4"/>
        <v>2020</v>
      </c>
      <c r="H100" s="2">
        <f t="shared" si="5"/>
        <v>-97.73</v>
      </c>
    </row>
    <row r="101" spans="1:8" x14ac:dyDescent="0.25">
      <c r="A101" s="1">
        <v>43987</v>
      </c>
      <c r="B101" t="s">
        <v>116</v>
      </c>
      <c r="C101" t="s">
        <v>9</v>
      </c>
      <c r="D101">
        <v>1277.8599999999999</v>
      </c>
      <c r="E101" t="s">
        <v>7</v>
      </c>
      <c r="F101" s="2" t="str">
        <f t="shared" si="3"/>
        <v>Jun</v>
      </c>
      <c r="G101" s="2">
        <f t="shared" si="4"/>
        <v>2020</v>
      </c>
      <c r="H101" s="2">
        <f t="shared" si="5"/>
        <v>-1277.8599999999999</v>
      </c>
    </row>
    <row r="102" spans="1:8" x14ac:dyDescent="0.25">
      <c r="A102" s="1">
        <v>43988</v>
      </c>
      <c r="B102" t="s">
        <v>117</v>
      </c>
      <c r="C102" t="s">
        <v>27</v>
      </c>
      <c r="D102">
        <v>1107.8399999999999</v>
      </c>
      <c r="E102" t="s">
        <v>7</v>
      </c>
      <c r="F102" s="2" t="str">
        <f t="shared" si="3"/>
        <v>Jun</v>
      </c>
      <c r="G102" s="2">
        <f t="shared" si="4"/>
        <v>2020</v>
      </c>
      <c r="H102" s="2">
        <f t="shared" si="5"/>
        <v>-1107.8399999999999</v>
      </c>
    </row>
    <row r="103" spans="1:8" x14ac:dyDescent="0.25">
      <c r="A103" s="1">
        <v>43989</v>
      </c>
      <c r="B103" t="s">
        <v>118</v>
      </c>
      <c r="C103" t="s">
        <v>6</v>
      </c>
      <c r="D103">
        <v>232.63</v>
      </c>
      <c r="E103" t="s">
        <v>7</v>
      </c>
      <c r="F103" s="2" t="str">
        <f t="shared" si="3"/>
        <v>Jun</v>
      </c>
      <c r="G103" s="2">
        <f t="shared" si="4"/>
        <v>2020</v>
      </c>
      <c r="H103" s="2">
        <f t="shared" si="5"/>
        <v>-232.63</v>
      </c>
    </row>
    <row r="104" spans="1:8" x14ac:dyDescent="0.25">
      <c r="A104" s="1">
        <v>43990</v>
      </c>
      <c r="B104" t="s">
        <v>119</v>
      </c>
      <c r="C104" t="s">
        <v>9</v>
      </c>
      <c r="D104">
        <v>1095.72</v>
      </c>
      <c r="E104" t="s">
        <v>7</v>
      </c>
      <c r="F104" s="2" t="str">
        <f t="shared" si="3"/>
        <v>Jun</v>
      </c>
      <c r="G104" s="2">
        <f t="shared" si="4"/>
        <v>2020</v>
      </c>
      <c r="H104" s="2">
        <f t="shared" si="5"/>
        <v>-1095.72</v>
      </c>
    </row>
    <row r="105" spans="1:8" x14ac:dyDescent="0.25">
      <c r="A105" s="1">
        <v>43991</v>
      </c>
      <c r="B105" t="s">
        <v>120</v>
      </c>
      <c r="C105" t="s">
        <v>9</v>
      </c>
      <c r="D105">
        <v>865.28</v>
      </c>
      <c r="E105" t="s">
        <v>7</v>
      </c>
      <c r="F105" s="2" t="str">
        <f t="shared" si="3"/>
        <v>Jun</v>
      </c>
      <c r="G105" s="2">
        <f t="shared" si="4"/>
        <v>2020</v>
      </c>
      <c r="H105" s="2">
        <f t="shared" si="5"/>
        <v>-865.28</v>
      </c>
    </row>
    <row r="106" spans="1:8" x14ac:dyDescent="0.25">
      <c r="A106" s="1">
        <v>43991</v>
      </c>
      <c r="B106" t="s">
        <v>121</v>
      </c>
      <c r="C106" t="s">
        <v>20</v>
      </c>
      <c r="D106">
        <v>826</v>
      </c>
      <c r="E106" t="s">
        <v>14</v>
      </c>
      <c r="F106" s="2" t="str">
        <f t="shared" si="3"/>
        <v>Jun</v>
      </c>
      <c r="G106" s="2">
        <f t="shared" si="4"/>
        <v>2020</v>
      </c>
      <c r="H106" s="2">
        <f t="shared" si="5"/>
        <v>826</v>
      </c>
    </row>
    <row r="107" spans="1:8" x14ac:dyDescent="0.25">
      <c r="A107" s="1">
        <v>43992</v>
      </c>
      <c r="B107" t="s">
        <v>122</v>
      </c>
      <c r="C107" t="s">
        <v>22</v>
      </c>
      <c r="D107">
        <v>1367.31</v>
      </c>
      <c r="E107" t="s">
        <v>7</v>
      </c>
      <c r="F107" s="2" t="str">
        <f t="shared" si="3"/>
        <v>Jun</v>
      </c>
      <c r="G107" s="2">
        <f t="shared" si="4"/>
        <v>2020</v>
      </c>
      <c r="H107" s="2">
        <f t="shared" si="5"/>
        <v>-1367.31</v>
      </c>
    </row>
    <row r="108" spans="1:8" x14ac:dyDescent="0.25">
      <c r="A108" s="1">
        <v>43992</v>
      </c>
      <c r="B108" t="s">
        <v>123</v>
      </c>
      <c r="C108" t="s">
        <v>25</v>
      </c>
      <c r="D108">
        <v>1562.43</v>
      </c>
      <c r="E108" t="s">
        <v>7</v>
      </c>
      <c r="F108" s="2" t="str">
        <f t="shared" si="3"/>
        <v>Jun</v>
      </c>
      <c r="G108" s="2">
        <f t="shared" si="4"/>
        <v>2020</v>
      </c>
      <c r="H108" s="2">
        <f t="shared" si="5"/>
        <v>-1562.43</v>
      </c>
    </row>
    <row r="109" spans="1:8" x14ac:dyDescent="0.25">
      <c r="A109" s="1">
        <v>43993</v>
      </c>
      <c r="B109" t="s">
        <v>124</v>
      </c>
      <c r="C109" t="s">
        <v>17</v>
      </c>
      <c r="D109">
        <v>1947.94</v>
      </c>
      <c r="E109" t="s">
        <v>7</v>
      </c>
      <c r="F109" s="2" t="str">
        <f t="shared" si="3"/>
        <v>Jun</v>
      </c>
      <c r="G109" s="2">
        <f t="shared" si="4"/>
        <v>2020</v>
      </c>
      <c r="H109" s="2">
        <f t="shared" si="5"/>
        <v>-1947.94</v>
      </c>
    </row>
    <row r="110" spans="1:8" x14ac:dyDescent="0.25">
      <c r="A110" s="1">
        <v>43993</v>
      </c>
      <c r="B110" t="s">
        <v>125</v>
      </c>
      <c r="C110" t="s">
        <v>22</v>
      </c>
      <c r="D110">
        <v>1730.57</v>
      </c>
      <c r="E110" t="s">
        <v>7</v>
      </c>
      <c r="F110" s="2" t="str">
        <f t="shared" si="3"/>
        <v>Jun</v>
      </c>
      <c r="G110" s="2">
        <f t="shared" si="4"/>
        <v>2020</v>
      </c>
      <c r="H110" s="2">
        <f t="shared" si="5"/>
        <v>-1730.57</v>
      </c>
    </row>
    <row r="111" spans="1:8" x14ac:dyDescent="0.25">
      <c r="A111" s="1">
        <v>43994</v>
      </c>
      <c r="B111" t="s">
        <v>126</v>
      </c>
      <c r="C111" t="s">
        <v>9</v>
      </c>
      <c r="D111">
        <v>1764.02</v>
      </c>
      <c r="E111" t="s">
        <v>7</v>
      </c>
      <c r="F111" s="2" t="str">
        <f t="shared" si="3"/>
        <v>Jun</v>
      </c>
      <c r="G111" s="2">
        <f t="shared" si="4"/>
        <v>2020</v>
      </c>
      <c r="H111" s="2">
        <f t="shared" si="5"/>
        <v>-1764.02</v>
      </c>
    </row>
    <row r="112" spans="1:8" x14ac:dyDescent="0.25">
      <c r="A112" s="1">
        <v>43996</v>
      </c>
      <c r="B112" t="s">
        <v>127</v>
      </c>
      <c r="C112" t="s">
        <v>20</v>
      </c>
      <c r="D112">
        <v>3872</v>
      </c>
      <c r="E112" t="s">
        <v>14</v>
      </c>
      <c r="F112" s="2" t="str">
        <f t="shared" si="3"/>
        <v>Jun</v>
      </c>
      <c r="G112" s="2">
        <f t="shared" si="4"/>
        <v>2020</v>
      </c>
      <c r="H112" s="2">
        <f t="shared" si="5"/>
        <v>3872</v>
      </c>
    </row>
    <row r="113" spans="1:8" x14ac:dyDescent="0.25">
      <c r="A113" s="1">
        <v>43997</v>
      </c>
      <c r="B113" t="s">
        <v>128</v>
      </c>
      <c r="C113" t="s">
        <v>22</v>
      </c>
      <c r="D113">
        <v>540.94000000000005</v>
      </c>
      <c r="E113" t="s">
        <v>7</v>
      </c>
      <c r="F113" s="2" t="str">
        <f t="shared" si="3"/>
        <v>Jun</v>
      </c>
      <c r="G113" s="2">
        <f t="shared" si="4"/>
        <v>2020</v>
      </c>
      <c r="H113" s="2">
        <f t="shared" si="5"/>
        <v>-540.94000000000005</v>
      </c>
    </row>
    <row r="114" spans="1:8" x14ac:dyDescent="0.25">
      <c r="A114" s="1">
        <v>44000</v>
      </c>
      <c r="B114" t="s">
        <v>129</v>
      </c>
      <c r="C114" t="s">
        <v>11</v>
      </c>
      <c r="D114">
        <v>771.26</v>
      </c>
      <c r="E114" t="s">
        <v>7</v>
      </c>
      <c r="F114" s="2" t="str">
        <f t="shared" si="3"/>
        <v>Jun</v>
      </c>
      <c r="G114" s="2">
        <f t="shared" si="4"/>
        <v>2020</v>
      </c>
      <c r="H114" s="2">
        <f t="shared" si="5"/>
        <v>-771.26</v>
      </c>
    </row>
    <row r="115" spans="1:8" x14ac:dyDescent="0.25">
      <c r="A115" s="1">
        <v>44000</v>
      </c>
      <c r="B115" t="s">
        <v>130</v>
      </c>
      <c r="C115" t="s">
        <v>20</v>
      </c>
      <c r="D115">
        <v>2322</v>
      </c>
      <c r="E115" t="s">
        <v>14</v>
      </c>
      <c r="F115" s="2" t="str">
        <f t="shared" si="3"/>
        <v>Jun</v>
      </c>
      <c r="G115" s="2">
        <f t="shared" si="4"/>
        <v>2020</v>
      </c>
      <c r="H115" s="2">
        <f t="shared" si="5"/>
        <v>2322</v>
      </c>
    </row>
    <row r="116" spans="1:8" x14ac:dyDescent="0.25">
      <c r="A116" s="1">
        <v>44000</v>
      </c>
      <c r="B116" t="s">
        <v>131</v>
      </c>
      <c r="C116" t="s">
        <v>20</v>
      </c>
      <c r="D116">
        <v>3364</v>
      </c>
      <c r="E116" t="s">
        <v>14</v>
      </c>
      <c r="F116" s="2" t="str">
        <f t="shared" si="3"/>
        <v>Jun</v>
      </c>
      <c r="G116" s="2">
        <f t="shared" si="4"/>
        <v>2020</v>
      </c>
      <c r="H116" s="2">
        <f t="shared" si="5"/>
        <v>3364</v>
      </c>
    </row>
    <row r="117" spans="1:8" x14ac:dyDescent="0.25">
      <c r="A117" s="1">
        <v>44001</v>
      </c>
      <c r="B117" t="s">
        <v>132</v>
      </c>
      <c r="C117" t="s">
        <v>22</v>
      </c>
      <c r="D117">
        <v>453.62</v>
      </c>
      <c r="E117" t="s">
        <v>7</v>
      </c>
      <c r="F117" s="2" t="str">
        <f t="shared" si="3"/>
        <v>Jun</v>
      </c>
      <c r="G117" s="2">
        <f t="shared" si="4"/>
        <v>2020</v>
      </c>
      <c r="H117" s="2">
        <f t="shared" si="5"/>
        <v>-453.62</v>
      </c>
    </row>
    <row r="118" spans="1:8" x14ac:dyDescent="0.25">
      <c r="A118" s="1">
        <v>44001</v>
      </c>
      <c r="B118" t="s">
        <v>133</v>
      </c>
      <c r="C118" t="s">
        <v>17</v>
      </c>
      <c r="D118">
        <v>663.24</v>
      </c>
      <c r="E118" t="s">
        <v>7</v>
      </c>
      <c r="F118" s="2" t="str">
        <f t="shared" si="3"/>
        <v>Jun</v>
      </c>
      <c r="G118" s="2">
        <f t="shared" si="4"/>
        <v>2020</v>
      </c>
      <c r="H118" s="2">
        <f t="shared" si="5"/>
        <v>-663.24</v>
      </c>
    </row>
    <row r="119" spans="1:8" x14ac:dyDescent="0.25">
      <c r="A119" s="1">
        <v>44003</v>
      </c>
      <c r="B119" t="s">
        <v>134</v>
      </c>
      <c r="C119" t="s">
        <v>35</v>
      </c>
      <c r="D119">
        <v>708.78</v>
      </c>
      <c r="E119" t="s">
        <v>7</v>
      </c>
      <c r="F119" s="2" t="str">
        <f t="shared" si="3"/>
        <v>Jun</v>
      </c>
      <c r="G119" s="2">
        <f t="shared" si="4"/>
        <v>2020</v>
      </c>
      <c r="H119" s="2">
        <f t="shared" si="5"/>
        <v>-708.78</v>
      </c>
    </row>
    <row r="120" spans="1:8" x14ac:dyDescent="0.25">
      <c r="A120" s="1">
        <v>44003</v>
      </c>
      <c r="B120" t="s">
        <v>135</v>
      </c>
      <c r="C120" t="s">
        <v>25</v>
      </c>
      <c r="D120">
        <v>1879.08</v>
      </c>
      <c r="E120" t="s">
        <v>7</v>
      </c>
      <c r="F120" s="2" t="str">
        <f t="shared" si="3"/>
        <v>Jun</v>
      </c>
      <c r="G120" s="2">
        <f t="shared" si="4"/>
        <v>2020</v>
      </c>
      <c r="H120" s="2">
        <f t="shared" si="5"/>
        <v>-1879.08</v>
      </c>
    </row>
    <row r="121" spans="1:8" x14ac:dyDescent="0.25">
      <c r="A121" s="1">
        <v>44004</v>
      </c>
      <c r="B121" t="s">
        <v>136</v>
      </c>
      <c r="C121" t="s">
        <v>20</v>
      </c>
      <c r="D121">
        <v>1962</v>
      </c>
      <c r="E121" t="s">
        <v>14</v>
      </c>
      <c r="F121" s="2" t="str">
        <f t="shared" si="3"/>
        <v>Jun</v>
      </c>
      <c r="G121" s="2">
        <f t="shared" si="4"/>
        <v>2020</v>
      </c>
      <c r="H121" s="2">
        <f t="shared" si="5"/>
        <v>1962</v>
      </c>
    </row>
    <row r="122" spans="1:8" x14ac:dyDescent="0.25">
      <c r="A122" s="1">
        <v>44004</v>
      </c>
      <c r="B122" t="s">
        <v>137</v>
      </c>
      <c r="C122" t="s">
        <v>35</v>
      </c>
      <c r="D122">
        <v>86.13</v>
      </c>
      <c r="E122" t="s">
        <v>7</v>
      </c>
      <c r="F122" s="2" t="str">
        <f t="shared" si="3"/>
        <v>Jun</v>
      </c>
      <c r="G122" s="2">
        <f t="shared" si="4"/>
        <v>2020</v>
      </c>
      <c r="H122" s="2">
        <f t="shared" si="5"/>
        <v>-86.13</v>
      </c>
    </row>
    <row r="123" spans="1:8" x14ac:dyDescent="0.25">
      <c r="A123" s="1">
        <v>44006</v>
      </c>
      <c r="B123" t="s">
        <v>138</v>
      </c>
      <c r="C123" t="s">
        <v>25</v>
      </c>
      <c r="D123">
        <v>1459.8</v>
      </c>
      <c r="E123" t="s">
        <v>7</v>
      </c>
      <c r="F123" s="2" t="str">
        <f t="shared" si="3"/>
        <v>Jun</v>
      </c>
      <c r="G123" s="2">
        <f t="shared" si="4"/>
        <v>2020</v>
      </c>
      <c r="H123" s="2">
        <f t="shared" si="5"/>
        <v>-1459.8</v>
      </c>
    </row>
    <row r="124" spans="1:8" x14ac:dyDescent="0.25">
      <c r="A124" s="1">
        <v>44012</v>
      </c>
      <c r="B124" t="s">
        <v>139</v>
      </c>
      <c r="C124" t="s">
        <v>11</v>
      </c>
      <c r="D124">
        <v>776.54</v>
      </c>
      <c r="E124" t="s">
        <v>7</v>
      </c>
      <c r="F124" s="2" t="str">
        <f t="shared" si="3"/>
        <v>Jun</v>
      </c>
      <c r="G124" s="2">
        <f t="shared" si="4"/>
        <v>2020</v>
      </c>
      <c r="H124" s="2">
        <f t="shared" si="5"/>
        <v>-776.54</v>
      </c>
    </row>
    <row r="125" spans="1:8" x14ac:dyDescent="0.25">
      <c r="A125" s="1">
        <v>44012</v>
      </c>
      <c r="B125" t="s">
        <v>140</v>
      </c>
      <c r="C125" t="s">
        <v>35</v>
      </c>
      <c r="D125">
        <v>98.33</v>
      </c>
      <c r="E125" t="s">
        <v>7</v>
      </c>
      <c r="F125" s="2" t="str">
        <f t="shared" si="3"/>
        <v>Jun</v>
      </c>
      <c r="G125" s="2">
        <f t="shared" si="4"/>
        <v>2020</v>
      </c>
      <c r="H125" s="2">
        <f t="shared" si="5"/>
        <v>-98.33</v>
      </c>
    </row>
    <row r="126" spans="1:8" x14ac:dyDescent="0.25">
      <c r="A126" s="1">
        <v>44014</v>
      </c>
      <c r="B126" t="s">
        <v>141</v>
      </c>
      <c r="C126" t="s">
        <v>22</v>
      </c>
      <c r="D126">
        <v>734.8</v>
      </c>
      <c r="E126" t="s">
        <v>7</v>
      </c>
      <c r="F126" s="2" t="str">
        <f t="shared" si="3"/>
        <v>Jul</v>
      </c>
      <c r="G126" s="2">
        <f t="shared" si="4"/>
        <v>2020</v>
      </c>
      <c r="H126" s="2">
        <f t="shared" si="5"/>
        <v>-734.8</v>
      </c>
    </row>
    <row r="127" spans="1:8" x14ac:dyDescent="0.25">
      <c r="A127" s="1">
        <v>44015</v>
      </c>
      <c r="B127" t="s">
        <v>142</v>
      </c>
      <c r="C127" t="s">
        <v>20</v>
      </c>
      <c r="D127">
        <v>3071</v>
      </c>
      <c r="E127" t="s">
        <v>14</v>
      </c>
      <c r="F127" s="2" t="str">
        <f t="shared" si="3"/>
        <v>Jul</v>
      </c>
      <c r="G127" s="2">
        <f t="shared" si="4"/>
        <v>2020</v>
      </c>
      <c r="H127" s="2">
        <f t="shared" si="5"/>
        <v>3071</v>
      </c>
    </row>
    <row r="128" spans="1:8" x14ac:dyDescent="0.25">
      <c r="A128" s="1">
        <v>44016</v>
      </c>
      <c r="B128" t="s">
        <v>143</v>
      </c>
      <c r="C128" t="s">
        <v>11</v>
      </c>
      <c r="D128">
        <v>1442.31</v>
      </c>
      <c r="E128" t="s">
        <v>7</v>
      </c>
      <c r="F128" s="2" t="str">
        <f t="shared" si="3"/>
        <v>Jul</v>
      </c>
      <c r="G128" s="2">
        <f t="shared" si="4"/>
        <v>2020</v>
      </c>
      <c r="H128" s="2">
        <f t="shared" si="5"/>
        <v>-1442.31</v>
      </c>
    </row>
    <row r="129" spans="1:8" x14ac:dyDescent="0.25">
      <c r="A129" s="1">
        <v>44017</v>
      </c>
      <c r="B129" t="s">
        <v>144</v>
      </c>
      <c r="C129" t="s">
        <v>35</v>
      </c>
      <c r="D129">
        <v>1337.12</v>
      </c>
      <c r="E129" t="s">
        <v>7</v>
      </c>
      <c r="F129" s="2" t="str">
        <f t="shared" si="3"/>
        <v>Jul</v>
      </c>
      <c r="G129" s="2">
        <f t="shared" si="4"/>
        <v>2020</v>
      </c>
      <c r="H129" s="2">
        <f t="shared" si="5"/>
        <v>-1337.12</v>
      </c>
    </row>
    <row r="130" spans="1:8" x14ac:dyDescent="0.25">
      <c r="A130" s="1">
        <v>44018</v>
      </c>
      <c r="B130" t="s">
        <v>145</v>
      </c>
      <c r="C130" t="s">
        <v>35</v>
      </c>
      <c r="D130">
        <v>1113.28</v>
      </c>
      <c r="E130" t="s">
        <v>7</v>
      </c>
      <c r="F130" s="2" t="str">
        <f t="shared" ref="F130:F193" si="6">TEXT(A130,"mmm")</f>
        <v>Jul</v>
      </c>
      <c r="G130" s="2">
        <f t="shared" ref="G130:G193" si="7">YEAR(A130)</f>
        <v>2020</v>
      </c>
      <c r="H130" s="2">
        <f t="shared" ref="H130:H193" si="8">IF(E130="Income",D130,-D130)</f>
        <v>-1113.28</v>
      </c>
    </row>
    <row r="131" spans="1:8" x14ac:dyDescent="0.25">
      <c r="A131" s="1">
        <v>44018</v>
      </c>
      <c r="B131" t="s">
        <v>146</v>
      </c>
      <c r="C131" t="s">
        <v>20</v>
      </c>
      <c r="D131">
        <v>1925</v>
      </c>
      <c r="E131" t="s">
        <v>14</v>
      </c>
      <c r="F131" s="2" t="str">
        <f t="shared" si="6"/>
        <v>Jul</v>
      </c>
      <c r="G131" s="2">
        <f t="shared" si="7"/>
        <v>2020</v>
      </c>
      <c r="H131" s="2">
        <f t="shared" si="8"/>
        <v>1925</v>
      </c>
    </row>
    <row r="132" spans="1:8" x14ac:dyDescent="0.25">
      <c r="A132" s="1">
        <v>44020</v>
      </c>
      <c r="B132" t="s">
        <v>147</v>
      </c>
      <c r="C132" t="s">
        <v>35</v>
      </c>
      <c r="D132">
        <v>818.09</v>
      </c>
      <c r="E132" t="s">
        <v>7</v>
      </c>
      <c r="F132" s="2" t="str">
        <f t="shared" si="6"/>
        <v>Jul</v>
      </c>
      <c r="G132" s="2">
        <f t="shared" si="7"/>
        <v>2020</v>
      </c>
      <c r="H132" s="2">
        <f t="shared" si="8"/>
        <v>-818.09</v>
      </c>
    </row>
    <row r="133" spans="1:8" x14ac:dyDescent="0.25">
      <c r="A133" s="1">
        <v>44023</v>
      </c>
      <c r="B133" t="s">
        <v>148</v>
      </c>
      <c r="C133" t="s">
        <v>35</v>
      </c>
      <c r="D133">
        <v>580.96</v>
      </c>
      <c r="E133" t="s">
        <v>7</v>
      </c>
      <c r="F133" s="2" t="str">
        <f t="shared" si="6"/>
        <v>Jul</v>
      </c>
      <c r="G133" s="2">
        <f t="shared" si="7"/>
        <v>2020</v>
      </c>
      <c r="H133" s="2">
        <f t="shared" si="8"/>
        <v>-580.96</v>
      </c>
    </row>
    <row r="134" spans="1:8" x14ac:dyDescent="0.25">
      <c r="A134" s="1">
        <v>44024</v>
      </c>
      <c r="B134" t="s">
        <v>149</v>
      </c>
      <c r="C134" t="s">
        <v>25</v>
      </c>
      <c r="D134">
        <v>935.33</v>
      </c>
      <c r="E134" t="s">
        <v>7</v>
      </c>
      <c r="F134" s="2" t="str">
        <f t="shared" si="6"/>
        <v>Jul</v>
      </c>
      <c r="G134" s="2">
        <f t="shared" si="7"/>
        <v>2020</v>
      </c>
      <c r="H134" s="2">
        <f t="shared" si="8"/>
        <v>-935.33</v>
      </c>
    </row>
    <row r="135" spans="1:8" x14ac:dyDescent="0.25">
      <c r="A135" s="1">
        <v>44024</v>
      </c>
      <c r="B135" t="s">
        <v>150</v>
      </c>
      <c r="C135" t="s">
        <v>22</v>
      </c>
      <c r="D135">
        <v>1027.24</v>
      </c>
      <c r="E135" t="s">
        <v>7</v>
      </c>
      <c r="F135" s="2" t="str">
        <f t="shared" si="6"/>
        <v>Jul</v>
      </c>
      <c r="G135" s="2">
        <f t="shared" si="7"/>
        <v>2020</v>
      </c>
      <c r="H135" s="2">
        <f t="shared" si="8"/>
        <v>-1027.24</v>
      </c>
    </row>
    <row r="136" spans="1:8" x14ac:dyDescent="0.25">
      <c r="A136" s="1">
        <v>44025</v>
      </c>
      <c r="B136" t="s">
        <v>151</v>
      </c>
      <c r="C136" t="s">
        <v>9</v>
      </c>
      <c r="D136">
        <v>1321.11</v>
      </c>
      <c r="E136" t="s">
        <v>7</v>
      </c>
      <c r="F136" s="2" t="str">
        <f t="shared" si="6"/>
        <v>Jul</v>
      </c>
      <c r="G136" s="2">
        <f t="shared" si="7"/>
        <v>2020</v>
      </c>
      <c r="H136" s="2">
        <f t="shared" si="8"/>
        <v>-1321.11</v>
      </c>
    </row>
    <row r="137" spans="1:8" x14ac:dyDescent="0.25">
      <c r="A137" s="1">
        <v>44029</v>
      </c>
      <c r="B137" t="s">
        <v>152</v>
      </c>
      <c r="C137" t="s">
        <v>25</v>
      </c>
      <c r="D137">
        <v>195.84</v>
      </c>
      <c r="E137" t="s">
        <v>7</v>
      </c>
      <c r="F137" s="2" t="str">
        <f t="shared" si="6"/>
        <v>Jul</v>
      </c>
      <c r="G137" s="2">
        <f t="shared" si="7"/>
        <v>2020</v>
      </c>
      <c r="H137" s="2">
        <f t="shared" si="8"/>
        <v>-195.84</v>
      </c>
    </row>
    <row r="138" spans="1:8" x14ac:dyDescent="0.25">
      <c r="A138" s="1">
        <v>44032</v>
      </c>
      <c r="B138" t="s">
        <v>153</v>
      </c>
      <c r="C138" t="s">
        <v>22</v>
      </c>
      <c r="D138">
        <v>1348.86</v>
      </c>
      <c r="E138" t="s">
        <v>7</v>
      </c>
      <c r="F138" s="2" t="str">
        <f t="shared" si="6"/>
        <v>Jul</v>
      </c>
      <c r="G138" s="2">
        <f t="shared" si="7"/>
        <v>2020</v>
      </c>
      <c r="H138" s="2">
        <f t="shared" si="8"/>
        <v>-1348.86</v>
      </c>
    </row>
    <row r="139" spans="1:8" x14ac:dyDescent="0.25">
      <c r="A139" s="1">
        <v>44033</v>
      </c>
      <c r="B139" t="s">
        <v>154</v>
      </c>
      <c r="C139" t="s">
        <v>22</v>
      </c>
      <c r="D139">
        <v>303.23</v>
      </c>
      <c r="E139" t="s">
        <v>7</v>
      </c>
      <c r="F139" s="2" t="str">
        <f t="shared" si="6"/>
        <v>Jul</v>
      </c>
      <c r="G139" s="2">
        <f t="shared" si="7"/>
        <v>2020</v>
      </c>
      <c r="H139" s="2">
        <f t="shared" si="8"/>
        <v>-303.23</v>
      </c>
    </row>
    <row r="140" spans="1:8" x14ac:dyDescent="0.25">
      <c r="A140" s="1">
        <v>44033</v>
      </c>
      <c r="B140" t="s">
        <v>155</v>
      </c>
      <c r="C140" t="s">
        <v>20</v>
      </c>
      <c r="D140">
        <v>1096</v>
      </c>
      <c r="E140" t="s">
        <v>14</v>
      </c>
      <c r="F140" s="2" t="str">
        <f t="shared" si="6"/>
        <v>Jul</v>
      </c>
      <c r="G140" s="2">
        <f t="shared" si="7"/>
        <v>2020</v>
      </c>
      <c r="H140" s="2">
        <f t="shared" si="8"/>
        <v>1096</v>
      </c>
    </row>
    <row r="141" spans="1:8" x14ac:dyDescent="0.25">
      <c r="A141" s="1">
        <v>44034</v>
      </c>
      <c r="B141" t="s">
        <v>156</v>
      </c>
      <c r="C141" t="s">
        <v>22</v>
      </c>
      <c r="D141">
        <v>1439.51</v>
      </c>
      <c r="E141" t="s">
        <v>7</v>
      </c>
      <c r="F141" s="2" t="str">
        <f t="shared" si="6"/>
        <v>Jul</v>
      </c>
      <c r="G141" s="2">
        <f t="shared" si="7"/>
        <v>2020</v>
      </c>
      <c r="H141" s="2">
        <f t="shared" si="8"/>
        <v>-1439.51</v>
      </c>
    </row>
    <row r="142" spans="1:8" x14ac:dyDescent="0.25">
      <c r="A142" s="1">
        <v>44034</v>
      </c>
      <c r="B142" t="s">
        <v>157</v>
      </c>
      <c r="C142" t="s">
        <v>17</v>
      </c>
      <c r="D142">
        <v>495.53</v>
      </c>
      <c r="E142" t="s">
        <v>7</v>
      </c>
      <c r="F142" s="2" t="str">
        <f t="shared" si="6"/>
        <v>Jul</v>
      </c>
      <c r="G142" s="2">
        <f t="shared" si="7"/>
        <v>2020</v>
      </c>
      <c r="H142" s="2">
        <f t="shared" si="8"/>
        <v>-495.53</v>
      </c>
    </row>
    <row r="143" spans="1:8" x14ac:dyDescent="0.25">
      <c r="A143" s="1">
        <v>44034</v>
      </c>
      <c r="B143" t="s">
        <v>158</v>
      </c>
      <c r="C143" t="s">
        <v>6</v>
      </c>
      <c r="D143">
        <v>1786.39</v>
      </c>
      <c r="E143" t="s">
        <v>7</v>
      </c>
      <c r="F143" s="2" t="str">
        <f t="shared" si="6"/>
        <v>Jul</v>
      </c>
      <c r="G143" s="2">
        <f t="shared" si="7"/>
        <v>2020</v>
      </c>
      <c r="H143" s="2">
        <f t="shared" si="8"/>
        <v>-1786.39</v>
      </c>
    </row>
    <row r="144" spans="1:8" x14ac:dyDescent="0.25">
      <c r="A144" s="1">
        <v>44035</v>
      </c>
      <c r="B144" t="s">
        <v>159</v>
      </c>
      <c r="C144" t="s">
        <v>11</v>
      </c>
      <c r="D144">
        <v>1559.06</v>
      </c>
      <c r="E144" t="s">
        <v>7</v>
      </c>
      <c r="F144" s="2" t="str">
        <f t="shared" si="6"/>
        <v>Jul</v>
      </c>
      <c r="G144" s="2">
        <f t="shared" si="7"/>
        <v>2020</v>
      </c>
      <c r="H144" s="2">
        <f t="shared" si="8"/>
        <v>-1559.06</v>
      </c>
    </row>
    <row r="145" spans="1:8" x14ac:dyDescent="0.25">
      <c r="A145" s="1">
        <v>44036</v>
      </c>
      <c r="B145" t="s">
        <v>160</v>
      </c>
      <c r="C145" t="s">
        <v>27</v>
      </c>
      <c r="D145">
        <v>109.93</v>
      </c>
      <c r="E145" t="s">
        <v>7</v>
      </c>
      <c r="F145" s="2" t="str">
        <f t="shared" si="6"/>
        <v>Jul</v>
      </c>
      <c r="G145" s="2">
        <f t="shared" si="7"/>
        <v>2020</v>
      </c>
      <c r="H145" s="2">
        <f t="shared" si="8"/>
        <v>-109.93</v>
      </c>
    </row>
    <row r="146" spans="1:8" x14ac:dyDescent="0.25">
      <c r="A146" s="1">
        <v>44040</v>
      </c>
      <c r="B146" t="s">
        <v>161</v>
      </c>
      <c r="C146" t="s">
        <v>11</v>
      </c>
      <c r="D146">
        <v>918.36</v>
      </c>
      <c r="E146" t="s">
        <v>7</v>
      </c>
      <c r="F146" s="2" t="str">
        <f t="shared" si="6"/>
        <v>Jul</v>
      </c>
      <c r="G146" s="2">
        <f t="shared" si="7"/>
        <v>2020</v>
      </c>
      <c r="H146" s="2">
        <f t="shared" si="8"/>
        <v>-918.36</v>
      </c>
    </row>
    <row r="147" spans="1:8" x14ac:dyDescent="0.25">
      <c r="A147" s="1">
        <v>44040</v>
      </c>
      <c r="B147" t="s">
        <v>162</v>
      </c>
      <c r="C147" t="s">
        <v>25</v>
      </c>
      <c r="D147">
        <v>1900.58</v>
      </c>
      <c r="E147" t="s">
        <v>7</v>
      </c>
      <c r="F147" s="2" t="str">
        <f t="shared" si="6"/>
        <v>Jul</v>
      </c>
      <c r="G147" s="2">
        <f t="shared" si="7"/>
        <v>2020</v>
      </c>
      <c r="H147" s="2">
        <f t="shared" si="8"/>
        <v>-1900.58</v>
      </c>
    </row>
    <row r="148" spans="1:8" x14ac:dyDescent="0.25">
      <c r="A148" s="1">
        <v>44041</v>
      </c>
      <c r="B148" t="s">
        <v>163</v>
      </c>
      <c r="C148" t="s">
        <v>17</v>
      </c>
      <c r="D148">
        <v>1662.83</v>
      </c>
      <c r="E148" t="s">
        <v>7</v>
      </c>
      <c r="F148" s="2" t="str">
        <f t="shared" si="6"/>
        <v>Jul</v>
      </c>
      <c r="G148" s="2">
        <f t="shared" si="7"/>
        <v>2020</v>
      </c>
      <c r="H148" s="2">
        <f t="shared" si="8"/>
        <v>-1662.83</v>
      </c>
    </row>
    <row r="149" spans="1:8" x14ac:dyDescent="0.25">
      <c r="A149" s="1">
        <v>44042</v>
      </c>
      <c r="B149" t="s">
        <v>164</v>
      </c>
      <c r="C149" t="s">
        <v>9</v>
      </c>
      <c r="D149">
        <v>1489.87</v>
      </c>
      <c r="E149" t="s">
        <v>7</v>
      </c>
      <c r="F149" s="2" t="str">
        <f t="shared" si="6"/>
        <v>Jul</v>
      </c>
      <c r="G149" s="2">
        <f t="shared" si="7"/>
        <v>2020</v>
      </c>
      <c r="H149" s="2">
        <f t="shared" si="8"/>
        <v>-1489.87</v>
      </c>
    </row>
    <row r="150" spans="1:8" x14ac:dyDescent="0.25">
      <c r="A150" s="1">
        <v>44043</v>
      </c>
      <c r="B150" t="s">
        <v>165</v>
      </c>
      <c r="C150" t="s">
        <v>35</v>
      </c>
      <c r="D150">
        <v>1506.04</v>
      </c>
      <c r="E150" t="s">
        <v>7</v>
      </c>
      <c r="F150" s="2" t="str">
        <f t="shared" si="6"/>
        <v>Jul</v>
      </c>
      <c r="G150" s="2">
        <f t="shared" si="7"/>
        <v>2020</v>
      </c>
      <c r="H150" s="2">
        <f t="shared" si="8"/>
        <v>-1506.04</v>
      </c>
    </row>
    <row r="151" spans="1:8" x14ac:dyDescent="0.25">
      <c r="A151" s="1">
        <v>44044</v>
      </c>
      <c r="B151" t="s">
        <v>166</v>
      </c>
      <c r="C151" t="s">
        <v>35</v>
      </c>
      <c r="D151">
        <v>1533.97</v>
      </c>
      <c r="E151" t="s">
        <v>7</v>
      </c>
      <c r="F151" s="2" t="str">
        <f t="shared" si="6"/>
        <v>Aug</v>
      </c>
      <c r="G151" s="2">
        <f t="shared" si="7"/>
        <v>2020</v>
      </c>
      <c r="H151" s="2">
        <f t="shared" si="8"/>
        <v>-1533.97</v>
      </c>
    </row>
    <row r="152" spans="1:8" x14ac:dyDescent="0.25">
      <c r="A152" s="1">
        <v>44044</v>
      </c>
      <c r="B152" t="s">
        <v>167</v>
      </c>
      <c r="C152" t="s">
        <v>22</v>
      </c>
      <c r="D152">
        <v>556.45000000000005</v>
      </c>
      <c r="E152" t="s">
        <v>7</v>
      </c>
      <c r="F152" s="2" t="str">
        <f t="shared" si="6"/>
        <v>Aug</v>
      </c>
      <c r="G152" s="2">
        <f t="shared" si="7"/>
        <v>2020</v>
      </c>
      <c r="H152" s="2">
        <f t="shared" si="8"/>
        <v>-556.45000000000005</v>
      </c>
    </row>
    <row r="153" spans="1:8" x14ac:dyDescent="0.25">
      <c r="A153" s="1">
        <v>44044</v>
      </c>
      <c r="B153" t="s">
        <v>168</v>
      </c>
      <c r="C153" t="s">
        <v>20</v>
      </c>
      <c r="D153">
        <v>2420</v>
      </c>
      <c r="E153" t="s">
        <v>14</v>
      </c>
      <c r="F153" s="2" t="str">
        <f t="shared" si="6"/>
        <v>Aug</v>
      </c>
      <c r="G153" s="2">
        <f t="shared" si="7"/>
        <v>2020</v>
      </c>
      <c r="H153" s="2">
        <f t="shared" si="8"/>
        <v>2420</v>
      </c>
    </row>
    <row r="154" spans="1:8" x14ac:dyDescent="0.25">
      <c r="A154" s="1">
        <v>44045</v>
      </c>
      <c r="B154" t="s">
        <v>169</v>
      </c>
      <c r="C154" t="s">
        <v>25</v>
      </c>
      <c r="D154">
        <v>1787.12</v>
      </c>
      <c r="E154" t="s">
        <v>7</v>
      </c>
      <c r="F154" s="2" t="str">
        <f t="shared" si="6"/>
        <v>Aug</v>
      </c>
      <c r="G154" s="2">
        <f t="shared" si="7"/>
        <v>2020</v>
      </c>
      <c r="H154" s="2">
        <f t="shared" si="8"/>
        <v>-1787.12</v>
      </c>
    </row>
    <row r="155" spans="1:8" x14ac:dyDescent="0.25">
      <c r="A155" s="1">
        <v>44046</v>
      </c>
      <c r="B155" t="s">
        <v>170</v>
      </c>
      <c r="C155" t="s">
        <v>13</v>
      </c>
      <c r="D155">
        <v>2394</v>
      </c>
      <c r="E155" t="s">
        <v>14</v>
      </c>
      <c r="F155" s="2" t="str">
        <f t="shared" si="6"/>
        <v>Aug</v>
      </c>
      <c r="G155" s="2">
        <f t="shared" si="7"/>
        <v>2020</v>
      </c>
      <c r="H155" s="2">
        <f t="shared" si="8"/>
        <v>2394</v>
      </c>
    </row>
    <row r="156" spans="1:8" x14ac:dyDescent="0.25">
      <c r="A156" s="1">
        <v>44047</v>
      </c>
      <c r="B156" t="s">
        <v>171</v>
      </c>
      <c r="C156" t="s">
        <v>9</v>
      </c>
      <c r="D156">
        <v>1415.77</v>
      </c>
      <c r="E156" t="s">
        <v>7</v>
      </c>
      <c r="F156" s="2" t="str">
        <f t="shared" si="6"/>
        <v>Aug</v>
      </c>
      <c r="G156" s="2">
        <f t="shared" si="7"/>
        <v>2020</v>
      </c>
      <c r="H156" s="2">
        <f t="shared" si="8"/>
        <v>-1415.77</v>
      </c>
    </row>
    <row r="157" spans="1:8" x14ac:dyDescent="0.25">
      <c r="A157" s="1">
        <v>44047</v>
      </c>
      <c r="B157" t="s">
        <v>172</v>
      </c>
      <c r="C157" t="s">
        <v>20</v>
      </c>
      <c r="D157">
        <v>3210</v>
      </c>
      <c r="E157" t="s">
        <v>14</v>
      </c>
      <c r="F157" s="2" t="str">
        <f t="shared" si="6"/>
        <v>Aug</v>
      </c>
      <c r="G157" s="2">
        <f t="shared" si="7"/>
        <v>2020</v>
      </c>
      <c r="H157" s="2">
        <f t="shared" si="8"/>
        <v>3210</v>
      </c>
    </row>
    <row r="158" spans="1:8" x14ac:dyDescent="0.25">
      <c r="A158" s="1">
        <v>44047</v>
      </c>
      <c r="B158" t="s">
        <v>173</v>
      </c>
      <c r="C158" t="s">
        <v>17</v>
      </c>
      <c r="D158">
        <v>133.91</v>
      </c>
      <c r="E158" t="s">
        <v>7</v>
      </c>
      <c r="F158" s="2" t="str">
        <f t="shared" si="6"/>
        <v>Aug</v>
      </c>
      <c r="G158" s="2">
        <f t="shared" si="7"/>
        <v>2020</v>
      </c>
      <c r="H158" s="2">
        <f t="shared" si="8"/>
        <v>-133.91</v>
      </c>
    </row>
    <row r="159" spans="1:8" x14ac:dyDescent="0.25">
      <c r="A159" s="1">
        <v>44048</v>
      </c>
      <c r="B159" t="s">
        <v>174</v>
      </c>
      <c r="C159" t="s">
        <v>17</v>
      </c>
      <c r="D159">
        <v>1810.63</v>
      </c>
      <c r="E159" t="s">
        <v>7</v>
      </c>
      <c r="F159" s="2" t="str">
        <f t="shared" si="6"/>
        <v>Aug</v>
      </c>
      <c r="G159" s="2">
        <f t="shared" si="7"/>
        <v>2020</v>
      </c>
      <c r="H159" s="2">
        <f t="shared" si="8"/>
        <v>-1810.63</v>
      </c>
    </row>
    <row r="160" spans="1:8" x14ac:dyDescent="0.25">
      <c r="A160" s="1">
        <v>44048</v>
      </c>
      <c r="B160" t="s">
        <v>175</v>
      </c>
      <c r="C160" t="s">
        <v>6</v>
      </c>
      <c r="D160">
        <v>1714.9</v>
      </c>
      <c r="E160" t="s">
        <v>7</v>
      </c>
      <c r="F160" s="2" t="str">
        <f t="shared" si="6"/>
        <v>Aug</v>
      </c>
      <c r="G160" s="2">
        <f t="shared" si="7"/>
        <v>2020</v>
      </c>
      <c r="H160" s="2">
        <f t="shared" si="8"/>
        <v>-1714.9</v>
      </c>
    </row>
    <row r="161" spans="1:8" x14ac:dyDescent="0.25">
      <c r="A161" s="1">
        <v>44049</v>
      </c>
      <c r="B161" t="s">
        <v>176</v>
      </c>
      <c r="C161" t="s">
        <v>17</v>
      </c>
      <c r="D161">
        <v>959.19</v>
      </c>
      <c r="E161" t="s">
        <v>7</v>
      </c>
      <c r="F161" s="2" t="str">
        <f t="shared" si="6"/>
        <v>Aug</v>
      </c>
      <c r="G161" s="2">
        <f t="shared" si="7"/>
        <v>2020</v>
      </c>
      <c r="H161" s="2">
        <f t="shared" si="8"/>
        <v>-959.19</v>
      </c>
    </row>
    <row r="162" spans="1:8" x14ac:dyDescent="0.25">
      <c r="A162" s="1">
        <v>44051</v>
      </c>
      <c r="B162" t="s">
        <v>177</v>
      </c>
      <c r="C162" t="s">
        <v>35</v>
      </c>
      <c r="D162">
        <v>1509.42</v>
      </c>
      <c r="E162" t="s">
        <v>7</v>
      </c>
      <c r="F162" s="2" t="str">
        <f t="shared" si="6"/>
        <v>Aug</v>
      </c>
      <c r="G162" s="2">
        <f t="shared" si="7"/>
        <v>2020</v>
      </c>
      <c r="H162" s="2">
        <f t="shared" si="8"/>
        <v>-1509.42</v>
      </c>
    </row>
    <row r="163" spans="1:8" x14ac:dyDescent="0.25">
      <c r="A163" s="1">
        <v>44051</v>
      </c>
      <c r="B163" t="s">
        <v>178</v>
      </c>
      <c r="C163" t="s">
        <v>17</v>
      </c>
      <c r="D163">
        <v>1081.06</v>
      </c>
      <c r="E163" t="s">
        <v>7</v>
      </c>
      <c r="F163" s="2" t="str">
        <f t="shared" si="6"/>
        <v>Aug</v>
      </c>
      <c r="G163" s="2">
        <f t="shared" si="7"/>
        <v>2020</v>
      </c>
      <c r="H163" s="2">
        <f t="shared" si="8"/>
        <v>-1081.06</v>
      </c>
    </row>
    <row r="164" spans="1:8" x14ac:dyDescent="0.25">
      <c r="A164" s="1">
        <v>44052</v>
      </c>
      <c r="B164" t="s">
        <v>179</v>
      </c>
      <c r="C164" t="s">
        <v>22</v>
      </c>
      <c r="D164">
        <v>981.58</v>
      </c>
      <c r="E164" t="s">
        <v>7</v>
      </c>
      <c r="F164" s="2" t="str">
        <f t="shared" si="6"/>
        <v>Aug</v>
      </c>
      <c r="G164" s="2">
        <f t="shared" si="7"/>
        <v>2020</v>
      </c>
      <c r="H164" s="2">
        <f t="shared" si="8"/>
        <v>-981.58</v>
      </c>
    </row>
    <row r="165" spans="1:8" x14ac:dyDescent="0.25">
      <c r="A165" s="1">
        <v>44056</v>
      </c>
      <c r="B165" t="s">
        <v>180</v>
      </c>
      <c r="C165" t="s">
        <v>27</v>
      </c>
      <c r="D165">
        <v>67.760000000000005</v>
      </c>
      <c r="E165" t="s">
        <v>7</v>
      </c>
      <c r="F165" s="2" t="str">
        <f t="shared" si="6"/>
        <v>Aug</v>
      </c>
      <c r="G165" s="2">
        <f t="shared" si="7"/>
        <v>2020</v>
      </c>
      <c r="H165" s="2">
        <f t="shared" si="8"/>
        <v>-67.760000000000005</v>
      </c>
    </row>
    <row r="166" spans="1:8" x14ac:dyDescent="0.25">
      <c r="A166" s="1">
        <v>44057</v>
      </c>
      <c r="B166" t="s">
        <v>181</v>
      </c>
      <c r="C166" t="s">
        <v>17</v>
      </c>
      <c r="D166">
        <v>1451.12</v>
      </c>
      <c r="E166" t="s">
        <v>7</v>
      </c>
      <c r="F166" s="2" t="str">
        <f t="shared" si="6"/>
        <v>Aug</v>
      </c>
      <c r="G166" s="2">
        <f t="shared" si="7"/>
        <v>2020</v>
      </c>
      <c r="H166" s="2">
        <f t="shared" si="8"/>
        <v>-1451.12</v>
      </c>
    </row>
    <row r="167" spans="1:8" x14ac:dyDescent="0.25">
      <c r="A167" s="1">
        <v>44059</v>
      </c>
      <c r="B167" t="s">
        <v>182</v>
      </c>
      <c r="C167" t="s">
        <v>9</v>
      </c>
      <c r="D167">
        <v>1961.64</v>
      </c>
      <c r="E167" t="s">
        <v>7</v>
      </c>
      <c r="F167" s="2" t="str">
        <f t="shared" si="6"/>
        <v>Aug</v>
      </c>
      <c r="G167" s="2">
        <f t="shared" si="7"/>
        <v>2020</v>
      </c>
      <c r="H167" s="2">
        <f t="shared" si="8"/>
        <v>-1961.64</v>
      </c>
    </row>
    <row r="168" spans="1:8" x14ac:dyDescent="0.25">
      <c r="A168" s="1">
        <v>44060</v>
      </c>
      <c r="B168" t="s">
        <v>183</v>
      </c>
      <c r="C168" t="s">
        <v>17</v>
      </c>
      <c r="D168">
        <v>1187.8699999999999</v>
      </c>
      <c r="E168" t="s">
        <v>7</v>
      </c>
      <c r="F168" s="2" t="str">
        <f t="shared" si="6"/>
        <v>Aug</v>
      </c>
      <c r="G168" s="2">
        <f t="shared" si="7"/>
        <v>2020</v>
      </c>
      <c r="H168" s="2">
        <f t="shared" si="8"/>
        <v>-1187.8699999999999</v>
      </c>
    </row>
    <row r="169" spans="1:8" x14ac:dyDescent="0.25">
      <c r="A169" s="1">
        <v>44061</v>
      </c>
      <c r="B169" t="s">
        <v>184</v>
      </c>
      <c r="C169" t="s">
        <v>11</v>
      </c>
      <c r="D169">
        <v>1289.07</v>
      </c>
      <c r="E169" t="s">
        <v>7</v>
      </c>
      <c r="F169" s="2" t="str">
        <f t="shared" si="6"/>
        <v>Aug</v>
      </c>
      <c r="G169" s="2">
        <f t="shared" si="7"/>
        <v>2020</v>
      </c>
      <c r="H169" s="2">
        <f t="shared" si="8"/>
        <v>-1289.07</v>
      </c>
    </row>
    <row r="170" spans="1:8" x14ac:dyDescent="0.25">
      <c r="A170" s="1">
        <v>44062</v>
      </c>
      <c r="B170" t="s">
        <v>185</v>
      </c>
      <c r="C170" t="s">
        <v>20</v>
      </c>
      <c r="D170">
        <v>1988</v>
      </c>
      <c r="E170" t="s">
        <v>14</v>
      </c>
      <c r="F170" s="2" t="str">
        <f t="shared" si="6"/>
        <v>Aug</v>
      </c>
      <c r="G170" s="2">
        <f t="shared" si="7"/>
        <v>2020</v>
      </c>
      <c r="H170" s="2">
        <f t="shared" si="8"/>
        <v>1988</v>
      </c>
    </row>
    <row r="171" spans="1:8" x14ac:dyDescent="0.25">
      <c r="A171" s="1">
        <v>44063</v>
      </c>
      <c r="B171" t="s">
        <v>186</v>
      </c>
      <c r="C171" t="s">
        <v>20</v>
      </c>
      <c r="D171">
        <v>3181</v>
      </c>
      <c r="E171" t="s">
        <v>14</v>
      </c>
      <c r="F171" s="2" t="str">
        <f t="shared" si="6"/>
        <v>Aug</v>
      </c>
      <c r="G171" s="2">
        <f t="shared" si="7"/>
        <v>2020</v>
      </c>
      <c r="H171" s="2">
        <f t="shared" si="8"/>
        <v>3181</v>
      </c>
    </row>
    <row r="172" spans="1:8" x14ac:dyDescent="0.25">
      <c r="A172" s="1">
        <v>44064</v>
      </c>
      <c r="B172" t="s">
        <v>187</v>
      </c>
      <c r="C172" t="s">
        <v>25</v>
      </c>
      <c r="D172">
        <v>681.63</v>
      </c>
      <c r="E172" t="s">
        <v>7</v>
      </c>
      <c r="F172" s="2" t="str">
        <f t="shared" si="6"/>
        <v>Aug</v>
      </c>
      <c r="G172" s="2">
        <f t="shared" si="7"/>
        <v>2020</v>
      </c>
      <c r="H172" s="2">
        <f t="shared" si="8"/>
        <v>-681.63</v>
      </c>
    </row>
    <row r="173" spans="1:8" x14ac:dyDescent="0.25">
      <c r="A173" s="1">
        <v>44064</v>
      </c>
      <c r="B173" t="s">
        <v>188</v>
      </c>
      <c r="C173" t="s">
        <v>35</v>
      </c>
      <c r="D173">
        <v>1506.5</v>
      </c>
      <c r="E173" t="s">
        <v>7</v>
      </c>
      <c r="F173" s="2" t="str">
        <f t="shared" si="6"/>
        <v>Aug</v>
      </c>
      <c r="G173" s="2">
        <f t="shared" si="7"/>
        <v>2020</v>
      </c>
      <c r="H173" s="2">
        <f t="shared" si="8"/>
        <v>-1506.5</v>
      </c>
    </row>
    <row r="174" spans="1:8" x14ac:dyDescent="0.25">
      <c r="A174" s="1">
        <v>44065</v>
      </c>
      <c r="B174" t="s">
        <v>189</v>
      </c>
      <c r="C174" t="s">
        <v>35</v>
      </c>
      <c r="D174">
        <v>1671.47</v>
      </c>
      <c r="E174" t="s">
        <v>7</v>
      </c>
      <c r="F174" s="2" t="str">
        <f t="shared" si="6"/>
        <v>Aug</v>
      </c>
      <c r="G174" s="2">
        <f t="shared" si="7"/>
        <v>2020</v>
      </c>
      <c r="H174" s="2">
        <f t="shared" si="8"/>
        <v>-1671.47</v>
      </c>
    </row>
    <row r="175" spans="1:8" x14ac:dyDescent="0.25">
      <c r="A175" s="1">
        <v>44065</v>
      </c>
      <c r="B175" t="s">
        <v>190</v>
      </c>
      <c r="C175" t="s">
        <v>6</v>
      </c>
      <c r="D175">
        <v>1999.82</v>
      </c>
      <c r="E175" t="s">
        <v>7</v>
      </c>
      <c r="F175" s="2" t="str">
        <f t="shared" si="6"/>
        <v>Aug</v>
      </c>
      <c r="G175" s="2">
        <f t="shared" si="7"/>
        <v>2020</v>
      </c>
      <c r="H175" s="2">
        <f t="shared" si="8"/>
        <v>-1999.82</v>
      </c>
    </row>
    <row r="176" spans="1:8" x14ac:dyDescent="0.25">
      <c r="A176" s="1">
        <v>44069</v>
      </c>
      <c r="B176" t="s">
        <v>191</v>
      </c>
      <c r="C176" t="s">
        <v>11</v>
      </c>
      <c r="D176">
        <v>1564.65</v>
      </c>
      <c r="E176" t="s">
        <v>7</v>
      </c>
      <c r="F176" s="2" t="str">
        <f t="shared" si="6"/>
        <v>Aug</v>
      </c>
      <c r="G176" s="2">
        <f t="shared" si="7"/>
        <v>2020</v>
      </c>
      <c r="H176" s="2">
        <f t="shared" si="8"/>
        <v>-1564.65</v>
      </c>
    </row>
    <row r="177" spans="1:8" x14ac:dyDescent="0.25">
      <c r="A177" s="1">
        <v>44070</v>
      </c>
      <c r="B177" t="s">
        <v>192</v>
      </c>
      <c r="C177" t="s">
        <v>6</v>
      </c>
      <c r="D177">
        <v>1899.73</v>
      </c>
      <c r="E177" t="s">
        <v>7</v>
      </c>
      <c r="F177" s="2" t="str">
        <f t="shared" si="6"/>
        <v>Aug</v>
      </c>
      <c r="G177" s="2">
        <f t="shared" si="7"/>
        <v>2020</v>
      </c>
      <c r="H177" s="2">
        <f t="shared" si="8"/>
        <v>-1899.73</v>
      </c>
    </row>
    <row r="178" spans="1:8" x14ac:dyDescent="0.25">
      <c r="A178" s="1">
        <v>44070</v>
      </c>
      <c r="B178" t="s">
        <v>193</v>
      </c>
      <c r="C178" t="s">
        <v>13</v>
      </c>
      <c r="D178">
        <v>1748</v>
      </c>
      <c r="E178" t="s">
        <v>14</v>
      </c>
      <c r="F178" s="2" t="str">
        <f t="shared" si="6"/>
        <v>Aug</v>
      </c>
      <c r="G178" s="2">
        <f t="shared" si="7"/>
        <v>2020</v>
      </c>
      <c r="H178" s="2">
        <f t="shared" si="8"/>
        <v>1748</v>
      </c>
    </row>
    <row r="179" spans="1:8" x14ac:dyDescent="0.25">
      <c r="A179" s="1">
        <v>44072</v>
      </c>
      <c r="B179" t="s">
        <v>194</v>
      </c>
      <c r="C179" t="s">
        <v>27</v>
      </c>
      <c r="D179">
        <v>1342.22</v>
      </c>
      <c r="E179" t="s">
        <v>7</v>
      </c>
      <c r="F179" s="2" t="str">
        <f t="shared" si="6"/>
        <v>Aug</v>
      </c>
      <c r="G179" s="2">
        <f t="shared" si="7"/>
        <v>2020</v>
      </c>
      <c r="H179" s="2">
        <f t="shared" si="8"/>
        <v>-1342.22</v>
      </c>
    </row>
    <row r="180" spans="1:8" x14ac:dyDescent="0.25">
      <c r="A180" s="1">
        <v>44073</v>
      </c>
      <c r="B180" t="s">
        <v>195</v>
      </c>
      <c r="C180" t="s">
        <v>22</v>
      </c>
      <c r="D180">
        <v>935.42</v>
      </c>
      <c r="E180" t="s">
        <v>7</v>
      </c>
      <c r="F180" s="2" t="str">
        <f t="shared" si="6"/>
        <v>Aug</v>
      </c>
      <c r="G180" s="2">
        <f t="shared" si="7"/>
        <v>2020</v>
      </c>
      <c r="H180" s="2">
        <f t="shared" si="8"/>
        <v>-935.42</v>
      </c>
    </row>
    <row r="181" spans="1:8" x14ac:dyDescent="0.25">
      <c r="A181" s="1">
        <v>44074</v>
      </c>
      <c r="B181" t="s">
        <v>196</v>
      </c>
      <c r="C181" t="s">
        <v>25</v>
      </c>
      <c r="D181">
        <v>343.9</v>
      </c>
      <c r="E181" t="s">
        <v>7</v>
      </c>
      <c r="F181" s="2" t="str">
        <f t="shared" si="6"/>
        <v>Aug</v>
      </c>
      <c r="G181" s="2">
        <f t="shared" si="7"/>
        <v>2020</v>
      </c>
      <c r="H181" s="2">
        <f t="shared" si="8"/>
        <v>-343.9</v>
      </c>
    </row>
    <row r="182" spans="1:8" x14ac:dyDescent="0.25">
      <c r="A182" s="1">
        <v>44075</v>
      </c>
      <c r="B182" t="s">
        <v>197</v>
      </c>
      <c r="C182" t="s">
        <v>11</v>
      </c>
      <c r="D182">
        <v>1557.81</v>
      </c>
      <c r="E182" t="s">
        <v>7</v>
      </c>
      <c r="F182" s="2" t="str">
        <f t="shared" si="6"/>
        <v>Sep</v>
      </c>
      <c r="G182" s="2">
        <f t="shared" si="7"/>
        <v>2020</v>
      </c>
      <c r="H182" s="2">
        <f t="shared" si="8"/>
        <v>-1557.81</v>
      </c>
    </row>
    <row r="183" spans="1:8" x14ac:dyDescent="0.25">
      <c r="A183" s="1">
        <v>44079</v>
      </c>
      <c r="B183" t="s">
        <v>198</v>
      </c>
      <c r="C183" t="s">
        <v>20</v>
      </c>
      <c r="D183">
        <v>1385</v>
      </c>
      <c r="E183" t="s">
        <v>14</v>
      </c>
      <c r="F183" s="2" t="str">
        <f t="shared" si="6"/>
        <v>Sep</v>
      </c>
      <c r="G183" s="2">
        <f t="shared" si="7"/>
        <v>2020</v>
      </c>
      <c r="H183" s="2">
        <f t="shared" si="8"/>
        <v>1385</v>
      </c>
    </row>
    <row r="184" spans="1:8" x14ac:dyDescent="0.25">
      <c r="A184" s="1">
        <v>44079</v>
      </c>
      <c r="B184" t="s">
        <v>199</v>
      </c>
      <c r="C184" t="s">
        <v>35</v>
      </c>
      <c r="D184">
        <v>1155.8399999999999</v>
      </c>
      <c r="E184" t="s">
        <v>7</v>
      </c>
      <c r="F184" s="2" t="str">
        <f t="shared" si="6"/>
        <v>Sep</v>
      </c>
      <c r="G184" s="2">
        <f t="shared" si="7"/>
        <v>2020</v>
      </c>
      <c r="H184" s="2">
        <f t="shared" si="8"/>
        <v>-1155.8399999999999</v>
      </c>
    </row>
    <row r="185" spans="1:8" x14ac:dyDescent="0.25">
      <c r="A185" s="1">
        <v>44080</v>
      </c>
      <c r="B185" t="s">
        <v>200</v>
      </c>
      <c r="C185" t="s">
        <v>17</v>
      </c>
      <c r="D185">
        <v>799.34</v>
      </c>
      <c r="E185" t="s">
        <v>7</v>
      </c>
      <c r="F185" s="2" t="str">
        <f t="shared" si="6"/>
        <v>Sep</v>
      </c>
      <c r="G185" s="2">
        <f t="shared" si="7"/>
        <v>2020</v>
      </c>
      <c r="H185" s="2">
        <f t="shared" si="8"/>
        <v>-799.34</v>
      </c>
    </row>
    <row r="186" spans="1:8" x14ac:dyDescent="0.25">
      <c r="A186" s="1">
        <v>44081</v>
      </c>
      <c r="B186" t="s">
        <v>201</v>
      </c>
      <c r="C186" t="s">
        <v>11</v>
      </c>
      <c r="D186">
        <v>1188.27</v>
      </c>
      <c r="E186" t="s">
        <v>7</v>
      </c>
      <c r="F186" s="2" t="str">
        <f t="shared" si="6"/>
        <v>Sep</v>
      </c>
      <c r="G186" s="2">
        <f t="shared" si="7"/>
        <v>2020</v>
      </c>
      <c r="H186" s="2">
        <f t="shared" si="8"/>
        <v>-1188.27</v>
      </c>
    </row>
    <row r="187" spans="1:8" x14ac:dyDescent="0.25">
      <c r="A187" s="1">
        <v>44082</v>
      </c>
      <c r="B187" t="s">
        <v>202</v>
      </c>
      <c r="C187" t="s">
        <v>22</v>
      </c>
      <c r="D187">
        <v>212.78</v>
      </c>
      <c r="E187" t="s">
        <v>7</v>
      </c>
      <c r="F187" s="2" t="str">
        <f t="shared" si="6"/>
        <v>Sep</v>
      </c>
      <c r="G187" s="2">
        <f t="shared" si="7"/>
        <v>2020</v>
      </c>
      <c r="H187" s="2">
        <f t="shared" si="8"/>
        <v>-212.78</v>
      </c>
    </row>
    <row r="188" spans="1:8" x14ac:dyDescent="0.25">
      <c r="A188" s="1">
        <v>44085</v>
      </c>
      <c r="B188" t="s">
        <v>203</v>
      </c>
      <c r="C188" t="s">
        <v>11</v>
      </c>
      <c r="D188">
        <v>1594.49</v>
      </c>
      <c r="E188" t="s">
        <v>7</v>
      </c>
      <c r="F188" s="2" t="str">
        <f t="shared" si="6"/>
        <v>Sep</v>
      </c>
      <c r="G188" s="2">
        <f t="shared" si="7"/>
        <v>2020</v>
      </c>
      <c r="H188" s="2">
        <f t="shared" si="8"/>
        <v>-1594.49</v>
      </c>
    </row>
    <row r="189" spans="1:8" x14ac:dyDescent="0.25">
      <c r="A189" s="1">
        <v>44085</v>
      </c>
      <c r="B189" t="s">
        <v>204</v>
      </c>
      <c r="C189" t="s">
        <v>6</v>
      </c>
      <c r="D189">
        <v>700.94</v>
      </c>
      <c r="E189" t="s">
        <v>7</v>
      </c>
      <c r="F189" s="2" t="str">
        <f t="shared" si="6"/>
        <v>Sep</v>
      </c>
      <c r="G189" s="2">
        <f t="shared" si="7"/>
        <v>2020</v>
      </c>
      <c r="H189" s="2">
        <f t="shared" si="8"/>
        <v>-700.94</v>
      </c>
    </row>
    <row r="190" spans="1:8" x14ac:dyDescent="0.25">
      <c r="A190" s="1">
        <v>44085</v>
      </c>
      <c r="B190" t="s">
        <v>205</v>
      </c>
      <c r="C190" t="s">
        <v>25</v>
      </c>
      <c r="D190">
        <v>147.22</v>
      </c>
      <c r="E190" t="s">
        <v>7</v>
      </c>
      <c r="F190" s="2" t="str">
        <f t="shared" si="6"/>
        <v>Sep</v>
      </c>
      <c r="G190" s="2">
        <f t="shared" si="7"/>
        <v>2020</v>
      </c>
      <c r="H190" s="2">
        <f t="shared" si="8"/>
        <v>-147.22</v>
      </c>
    </row>
    <row r="191" spans="1:8" x14ac:dyDescent="0.25">
      <c r="A191" s="1">
        <v>44090</v>
      </c>
      <c r="B191" t="s">
        <v>206</v>
      </c>
      <c r="C191" t="s">
        <v>6</v>
      </c>
      <c r="D191">
        <v>1700.66</v>
      </c>
      <c r="E191" t="s">
        <v>7</v>
      </c>
      <c r="F191" s="2" t="str">
        <f t="shared" si="6"/>
        <v>Sep</v>
      </c>
      <c r="G191" s="2">
        <f t="shared" si="7"/>
        <v>2020</v>
      </c>
      <c r="H191" s="2">
        <f t="shared" si="8"/>
        <v>-1700.66</v>
      </c>
    </row>
    <row r="192" spans="1:8" x14ac:dyDescent="0.25">
      <c r="A192" s="1">
        <v>44091</v>
      </c>
      <c r="B192" t="s">
        <v>207</v>
      </c>
      <c r="C192" t="s">
        <v>11</v>
      </c>
      <c r="D192">
        <v>872.71</v>
      </c>
      <c r="E192" t="s">
        <v>7</v>
      </c>
      <c r="F192" s="2" t="str">
        <f t="shared" si="6"/>
        <v>Sep</v>
      </c>
      <c r="G192" s="2">
        <f t="shared" si="7"/>
        <v>2020</v>
      </c>
      <c r="H192" s="2">
        <f t="shared" si="8"/>
        <v>-872.71</v>
      </c>
    </row>
    <row r="193" spans="1:8" x14ac:dyDescent="0.25">
      <c r="A193" s="1">
        <v>44091</v>
      </c>
      <c r="B193" t="s">
        <v>208</v>
      </c>
      <c r="C193" t="s">
        <v>27</v>
      </c>
      <c r="D193">
        <v>1417.54</v>
      </c>
      <c r="E193" t="s">
        <v>7</v>
      </c>
      <c r="F193" s="2" t="str">
        <f t="shared" si="6"/>
        <v>Sep</v>
      </c>
      <c r="G193" s="2">
        <f t="shared" si="7"/>
        <v>2020</v>
      </c>
      <c r="H193" s="2">
        <f t="shared" si="8"/>
        <v>-1417.54</v>
      </c>
    </row>
    <row r="194" spans="1:8" x14ac:dyDescent="0.25">
      <c r="A194" s="1">
        <v>44092</v>
      </c>
      <c r="B194" t="s">
        <v>209</v>
      </c>
      <c r="C194" t="s">
        <v>35</v>
      </c>
      <c r="D194">
        <v>1235.67</v>
      </c>
      <c r="E194" t="s">
        <v>7</v>
      </c>
      <c r="F194" s="2" t="str">
        <f t="shared" ref="F194:F257" si="9">TEXT(A194,"mmm")</f>
        <v>Sep</v>
      </c>
      <c r="G194" s="2">
        <f t="shared" ref="G194:G257" si="10">YEAR(A194)</f>
        <v>2020</v>
      </c>
      <c r="H194" s="2">
        <f t="shared" ref="H194:H257" si="11">IF(E194="Income",D194,-D194)</f>
        <v>-1235.67</v>
      </c>
    </row>
    <row r="195" spans="1:8" x14ac:dyDescent="0.25">
      <c r="A195" s="1">
        <v>44092</v>
      </c>
      <c r="B195" t="s">
        <v>210</v>
      </c>
      <c r="C195" t="s">
        <v>27</v>
      </c>
      <c r="D195">
        <v>935.1</v>
      </c>
      <c r="E195" t="s">
        <v>7</v>
      </c>
      <c r="F195" s="2" t="str">
        <f t="shared" si="9"/>
        <v>Sep</v>
      </c>
      <c r="G195" s="2">
        <f t="shared" si="10"/>
        <v>2020</v>
      </c>
      <c r="H195" s="2">
        <f t="shared" si="11"/>
        <v>-935.1</v>
      </c>
    </row>
    <row r="196" spans="1:8" x14ac:dyDescent="0.25">
      <c r="A196" s="1">
        <v>44096</v>
      </c>
      <c r="B196" t="s">
        <v>211</v>
      </c>
      <c r="C196" t="s">
        <v>35</v>
      </c>
      <c r="D196">
        <v>651.39</v>
      </c>
      <c r="E196" t="s">
        <v>7</v>
      </c>
      <c r="F196" s="2" t="str">
        <f t="shared" si="9"/>
        <v>Sep</v>
      </c>
      <c r="G196" s="2">
        <f t="shared" si="10"/>
        <v>2020</v>
      </c>
      <c r="H196" s="2">
        <f t="shared" si="11"/>
        <v>-651.39</v>
      </c>
    </row>
    <row r="197" spans="1:8" x14ac:dyDescent="0.25">
      <c r="A197" s="1">
        <v>44096</v>
      </c>
      <c r="B197" t="s">
        <v>212</v>
      </c>
      <c r="C197" t="s">
        <v>11</v>
      </c>
      <c r="D197">
        <v>565.07000000000005</v>
      </c>
      <c r="E197" t="s">
        <v>7</v>
      </c>
      <c r="F197" s="2" t="str">
        <f t="shared" si="9"/>
        <v>Sep</v>
      </c>
      <c r="G197" s="2">
        <f t="shared" si="10"/>
        <v>2020</v>
      </c>
      <c r="H197" s="2">
        <f t="shared" si="11"/>
        <v>-565.07000000000005</v>
      </c>
    </row>
    <row r="198" spans="1:8" x14ac:dyDescent="0.25">
      <c r="A198" s="1">
        <v>44096</v>
      </c>
      <c r="B198" t="s">
        <v>213</v>
      </c>
      <c r="C198" t="s">
        <v>27</v>
      </c>
      <c r="D198">
        <v>1144</v>
      </c>
      <c r="E198" t="s">
        <v>7</v>
      </c>
      <c r="F198" s="2" t="str">
        <f t="shared" si="9"/>
        <v>Sep</v>
      </c>
      <c r="G198" s="2">
        <f t="shared" si="10"/>
        <v>2020</v>
      </c>
      <c r="H198" s="2">
        <f t="shared" si="11"/>
        <v>-1144</v>
      </c>
    </row>
    <row r="199" spans="1:8" x14ac:dyDescent="0.25">
      <c r="A199" s="1">
        <v>44097</v>
      </c>
      <c r="B199" t="s">
        <v>214</v>
      </c>
      <c r="C199" t="s">
        <v>25</v>
      </c>
      <c r="D199">
        <v>67.11</v>
      </c>
      <c r="E199" t="s">
        <v>7</v>
      </c>
      <c r="F199" s="2" t="str">
        <f t="shared" si="9"/>
        <v>Sep</v>
      </c>
      <c r="G199" s="2">
        <f t="shared" si="10"/>
        <v>2020</v>
      </c>
      <c r="H199" s="2">
        <f t="shared" si="11"/>
        <v>-67.11</v>
      </c>
    </row>
    <row r="200" spans="1:8" x14ac:dyDescent="0.25">
      <c r="A200" s="1">
        <v>44097</v>
      </c>
      <c r="B200" t="s">
        <v>215</v>
      </c>
      <c r="C200" t="s">
        <v>9</v>
      </c>
      <c r="D200">
        <v>980.22</v>
      </c>
      <c r="E200" t="s">
        <v>7</v>
      </c>
      <c r="F200" s="2" t="str">
        <f t="shared" si="9"/>
        <v>Sep</v>
      </c>
      <c r="G200" s="2">
        <f t="shared" si="10"/>
        <v>2020</v>
      </c>
      <c r="H200" s="2">
        <f t="shared" si="11"/>
        <v>-980.22</v>
      </c>
    </row>
    <row r="201" spans="1:8" x14ac:dyDescent="0.25">
      <c r="A201" s="1">
        <v>44099</v>
      </c>
      <c r="B201" t="s">
        <v>216</v>
      </c>
      <c r="C201" t="s">
        <v>35</v>
      </c>
      <c r="D201">
        <v>687.27</v>
      </c>
      <c r="E201" t="s">
        <v>7</v>
      </c>
      <c r="F201" s="2" t="str">
        <f t="shared" si="9"/>
        <v>Sep</v>
      </c>
      <c r="G201" s="2">
        <f t="shared" si="10"/>
        <v>2020</v>
      </c>
      <c r="H201" s="2">
        <f t="shared" si="11"/>
        <v>-687.27</v>
      </c>
    </row>
    <row r="202" spans="1:8" x14ac:dyDescent="0.25">
      <c r="A202" s="1">
        <v>44101</v>
      </c>
      <c r="B202" t="s">
        <v>217</v>
      </c>
      <c r="C202" t="s">
        <v>35</v>
      </c>
      <c r="D202">
        <v>1116.02</v>
      </c>
      <c r="E202" t="s">
        <v>7</v>
      </c>
      <c r="F202" s="2" t="str">
        <f t="shared" si="9"/>
        <v>Sep</v>
      </c>
      <c r="G202" s="2">
        <f t="shared" si="10"/>
        <v>2020</v>
      </c>
      <c r="H202" s="2">
        <f t="shared" si="11"/>
        <v>-1116.02</v>
      </c>
    </row>
    <row r="203" spans="1:8" x14ac:dyDescent="0.25">
      <c r="A203" s="1">
        <v>44101</v>
      </c>
      <c r="B203" t="s">
        <v>218</v>
      </c>
      <c r="C203" t="s">
        <v>22</v>
      </c>
      <c r="D203">
        <v>180.37</v>
      </c>
      <c r="E203" t="s">
        <v>7</v>
      </c>
      <c r="F203" s="2" t="str">
        <f t="shared" si="9"/>
        <v>Sep</v>
      </c>
      <c r="G203" s="2">
        <f t="shared" si="10"/>
        <v>2020</v>
      </c>
      <c r="H203" s="2">
        <f t="shared" si="11"/>
        <v>-180.37</v>
      </c>
    </row>
    <row r="204" spans="1:8" x14ac:dyDescent="0.25">
      <c r="A204" s="1">
        <v>44101</v>
      </c>
      <c r="B204" t="s">
        <v>219</v>
      </c>
      <c r="C204" t="s">
        <v>27</v>
      </c>
      <c r="D204">
        <v>1114.8</v>
      </c>
      <c r="E204" t="s">
        <v>7</v>
      </c>
      <c r="F204" s="2" t="str">
        <f t="shared" si="9"/>
        <v>Sep</v>
      </c>
      <c r="G204" s="2">
        <f t="shared" si="10"/>
        <v>2020</v>
      </c>
      <c r="H204" s="2">
        <f t="shared" si="11"/>
        <v>-1114.8</v>
      </c>
    </row>
    <row r="205" spans="1:8" x14ac:dyDescent="0.25">
      <c r="A205" s="1">
        <v>44103</v>
      </c>
      <c r="B205" t="s">
        <v>220</v>
      </c>
      <c r="C205" t="s">
        <v>27</v>
      </c>
      <c r="D205">
        <v>1295.3499999999999</v>
      </c>
      <c r="E205" t="s">
        <v>7</v>
      </c>
      <c r="F205" s="2" t="str">
        <f t="shared" si="9"/>
        <v>Sep</v>
      </c>
      <c r="G205" s="2">
        <f t="shared" si="10"/>
        <v>2020</v>
      </c>
      <c r="H205" s="2">
        <f t="shared" si="11"/>
        <v>-1295.3499999999999</v>
      </c>
    </row>
    <row r="206" spans="1:8" x14ac:dyDescent="0.25">
      <c r="A206" s="1">
        <v>44104</v>
      </c>
      <c r="B206" t="s">
        <v>221</v>
      </c>
      <c r="C206" t="s">
        <v>6</v>
      </c>
      <c r="D206">
        <v>195.18</v>
      </c>
      <c r="E206" t="s">
        <v>7</v>
      </c>
      <c r="F206" s="2" t="str">
        <f t="shared" si="9"/>
        <v>Sep</v>
      </c>
      <c r="G206" s="2">
        <f t="shared" si="10"/>
        <v>2020</v>
      </c>
      <c r="H206" s="2">
        <f t="shared" si="11"/>
        <v>-195.18</v>
      </c>
    </row>
    <row r="207" spans="1:8" x14ac:dyDescent="0.25">
      <c r="A207" s="1">
        <v>44105</v>
      </c>
      <c r="B207" t="s">
        <v>222</v>
      </c>
      <c r="C207" t="s">
        <v>22</v>
      </c>
      <c r="D207">
        <v>619.35</v>
      </c>
      <c r="E207" t="s">
        <v>7</v>
      </c>
      <c r="F207" s="2" t="str">
        <f t="shared" si="9"/>
        <v>Oct</v>
      </c>
      <c r="G207" s="2">
        <f t="shared" si="10"/>
        <v>2020</v>
      </c>
      <c r="H207" s="2">
        <f t="shared" si="11"/>
        <v>-619.35</v>
      </c>
    </row>
    <row r="208" spans="1:8" x14ac:dyDescent="0.25">
      <c r="A208" s="1">
        <v>44107</v>
      </c>
      <c r="B208" t="s">
        <v>223</v>
      </c>
      <c r="C208" t="s">
        <v>27</v>
      </c>
      <c r="D208">
        <v>1111.4100000000001</v>
      </c>
      <c r="E208" t="s">
        <v>7</v>
      </c>
      <c r="F208" s="2" t="str">
        <f t="shared" si="9"/>
        <v>Oct</v>
      </c>
      <c r="G208" s="2">
        <f t="shared" si="10"/>
        <v>2020</v>
      </c>
      <c r="H208" s="2">
        <f t="shared" si="11"/>
        <v>-1111.4100000000001</v>
      </c>
    </row>
    <row r="209" spans="1:8" x14ac:dyDescent="0.25">
      <c r="A209" s="1">
        <v>44108</v>
      </c>
      <c r="B209" t="s">
        <v>224</v>
      </c>
      <c r="C209" t="s">
        <v>25</v>
      </c>
      <c r="D209">
        <v>710.1</v>
      </c>
      <c r="E209" t="s">
        <v>7</v>
      </c>
      <c r="F209" s="2" t="str">
        <f t="shared" si="9"/>
        <v>Oct</v>
      </c>
      <c r="G209" s="2">
        <f t="shared" si="10"/>
        <v>2020</v>
      </c>
      <c r="H209" s="2">
        <f t="shared" si="11"/>
        <v>-710.1</v>
      </c>
    </row>
    <row r="210" spans="1:8" x14ac:dyDescent="0.25">
      <c r="A210" s="1">
        <v>44111</v>
      </c>
      <c r="B210" t="s">
        <v>225</v>
      </c>
      <c r="C210" t="s">
        <v>35</v>
      </c>
      <c r="D210">
        <v>510.29</v>
      </c>
      <c r="E210" t="s">
        <v>7</v>
      </c>
      <c r="F210" s="2" t="str">
        <f t="shared" si="9"/>
        <v>Oct</v>
      </c>
      <c r="G210" s="2">
        <f t="shared" si="10"/>
        <v>2020</v>
      </c>
      <c r="H210" s="2">
        <f t="shared" si="11"/>
        <v>-510.29</v>
      </c>
    </row>
    <row r="211" spans="1:8" x14ac:dyDescent="0.25">
      <c r="A211" s="1">
        <v>44111</v>
      </c>
      <c r="B211" t="s">
        <v>226</v>
      </c>
      <c r="C211" t="s">
        <v>13</v>
      </c>
      <c r="D211">
        <v>3084</v>
      </c>
      <c r="E211" t="s">
        <v>14</v>
      </c>
      <c r="F211" s="2" t="str">
        <f t="shared" si="9"/>
        <v>Oct</v>
      </c>
      <c r="G211" s="2">
        <f t="shared" si="10"/>
        <v>2020</v>
      </c>
      <c r="H211" s="2">
        <f t="shared" si="11"/>
        <v>3084</v>
      </c>
    </row>
    <row r="212" spans="1:8" x14ac:dyDescent="0.25">
      <c r="A212" s="1">
        <v>44111</v>
      </c>
      <c r="B212" t="s">
        <v>227</v>
      </c>
      <c r="C212" t="s">
        <v>13</v>
      </c>
      <c r="D212">
        <v>2069</v>
      </c>
      <c r="E212" t="s">
        <v>14</v>
      </c>
      <c r="F212" s="2" t="str">
        <f t="shared" si="9"/>
        <v>Oct</v>
      </c>
      <c r="G212" s="2">
        <f t="shared" si="10"/>
        <v>2020</v>
      </c>
      <c r="H212" s="2">
        <f t="shared" si="11"/>
        <v>2069</v>
      </c>
    </row>
    <row r="213" spans="1:8" x14ac:dyDescent="0.25">
      <c r="A213" s="1">
        <v>44112</v>
      </c>
      <c r="B213" t="s">
        <v>228</v>
      </c>
      <c r="C213" t="s">
        <v>27</v>
      </c>
      <c r="D213">
        <v>560.23</v>
      </c>
      <c r="E213" t="s">
        <v>7</v>
      </c>
      <c r="F213" s="2" t="str">
        <f t="shared" si="9"/>
        <v>Oct</v>
      </c>
      <c r="G213" s="2">
        <f t="shared" si="10"/>
        <v>2020</v>
      </c>
      <c r="H213" s="2">
        <f t="shared" si="11"/>
        <v>-560.23</v>
      </c>
    </row>
    <row r="214" spans="1:8" x14ac:dyDescent="0.25">
      <c r="A214" s="1">
        <v>44112</v>
      </c>
      <c r="B214" t="s">
        <v>229</v>
      </c>
      <c r="C214" t="s">
        <v>35</v>
      </c>
      <c r="D214">
        <v>1961.22</v>
      </c>
      <c r="E214" t="s">
        <v>7</v>
      </c>
      <c r="F214" s="2" t="str">
        <f t="shared" si="9"/>
        <v>Oct</v>
      </c>
      <c r="G214" s="2">
        <f t="shared" si="10"/>
        <v>2020</v>
      </c>
      <c r="H214" s="2">
        <f t="shared" si="11"/>
        <v>-1961.22</v>
      </c>
    </row>
    <row r="215" spans="1:8" x14ac:dyDescent="0.25">
      <c r="A215" s="1">
        <v>44114</v>
      </c>
      <c r="B215" t="s">
        <v>230</v>
      </c>
      <c r="C215" t="s">
        <v>35</v>
      </c>
      <c r="D215">
        <v>462.69</v>
      </c>
      <c r="E215" t="s">
        <v>7</v>
      </c>
      <c r="F215" s="2" t="str">
        <f t="shared" si="9"/>
        <v>Oct</v>
      </c>
      <c r="G215" s="2">
        <f t="shared" si="10"/>
        <v>2020</v>
      </c>
      <c r="H215" s="2">
        <f t="shared" si="11"/>
        <v>-462.69</v>
      </c>
    </row>
    <row r="216" spans="1:8" x14ac:dyDescent="0.25">
      <c r="A216" s="1">
        <v>44114</v>
      </c>
      <c r="B216" t="s">
        <v>231</v>
      </c>
      <c r="C216" t="s">
        <v>13</v>
      </c>
      <c r="D216">
        <v>4875</v>
      </c>
      <c r="E216" t="s">
        <v>14</v>
      </c>
      <c r="F216" s="2" t="str">
        <f t="shared" si="9"/>
        <v>Oct</v>
      </c>
      <c r="G216" s="2">
        <f t="shared" si="10"/>
        <v>2020</v>
      </c>
      <c r="H216" s="2">
        <f t="shared" si="11"/>
        <v>4875</v>
      </c>
    </row>
    <row r="217" spans="1:8" x14ac:dyDescent="0.25">
      <c r="A217" s="1">
        <v>44114</v>
      </c>
      <c r="B217" t="s">
        <v>232</v>
      </c>
      <c r="C217" t="s">
        <v>13</v>
      </c>
      <c r="D217">
        <v>946</v>
      </c>
      <c r="E217" t="s">
        <v>14</v>
      </c>
      <c r="F217" s="2" t="str">
        <f t="shared" si="9"/>
        <v>Oct</v>
      </c>
      <c r="G217" s="2">
        <f t="shared" si="10"/>
        <v>2020</v>
      </c>
      <c r="H217" s="2">
        <f t="shared" si="11"/>
        <v>946</v>
      </c>
    </row>
    <row r="218" spans="1:8" x14ac:dyDescent="0.25">
      <c r="A218" s="1">
        <v>44116</v>
      </c>
      <c r="B218" t="s">
        <v>233</v>
      </c>
      <c r="C218" t="s">
        <v>9</v>
      </c>
      <c r="D218">
        <v>1279.3599999999999</v>
      </c>
      <c r="E218" t="s">
        <v>7</v>
      </c>
      <c r="F218" s="2" t="str">
        <f t="shared" si="9"/>
        <v>Oct</v>
      </c>
      <c r="G218" s="2">
        <f t="shared" si="10"/>
        <v>2020</v>
      </c>
      <c r="H218" s="2">
        <f t="shared" si="11"/>
        <v>-1279.3599999999999</v>
      </c>
    </row>
    <row r="219" spans="1:8" x14ac:dyDescent="0.25">
      <c r="A219" s="1">
        <v>44118</v>
      </c>
      <c r="B219" t="s">
        <v>234</v>
      </c>
      <c r="C219" t="s">
        <v>11</v>
      </c>
      <c r="D219">
        <v>1746.71</v>
      </c>
      <c r="E219" t="s">
        <v>7</v>
      </c>
      <c r="F219" s="2" t="str">
        <f t="shared" si="9"/>
        <v>Oct</v>
      </c>
      <c r="G219" s="2">
        <f t="shared" si="10"/>
        <v>2020</v>
      </c>
      <c r="H219" s="2">
        <f t="shared" si="11"/>
        <v>-1746.71</v>
      </c>
    </row>
    <row r="220" spans="1:8" x14ac:dyDescent="0.25">
      <c r="A220" s="1">
        <v>44119</v>
      </c>
      <c r="B220" t="s">
        <v>235</v>
      </c>
      <c r="C220" t="s">
        <v>27</v>
      </c>
      <c r="D220">
        <v>962.64</v>
      </c>
      <c r="E220" t="s">
        <v>7</v>
      </c>
      <c r="F220" s="2" t="str">
        <f t="shared" si="9"/>
        <v>Oct</v>
      </c>
      <c r="G220" s="2">
        <f t="shared" si="10"/>
        <v>2020</v>
      </c>
      <c r="H220" s="2">
        <f t="shared" si="11"/>
        <v>-962.64</v>
      </c>
    </row>
    <row r="221" spans="1:8" x14ac:dyDescent="0.25">
      <c r="A221" s="1">
        <v>44120</v>
      </c>
      <c r="B221" t="s">
        <v>236</v>
      </c>
      <c r="C221" t="s">
        <v>6</v>
      </c>
      <c r="D221">
        <v>512.42999999999995</v>
      </c>
      <c r="E221" t="s">
        <v>7</v>
      </c>
      <c r="F221" s="2" t="str">
        <f t="shared" si="9"/>
        <v>Oct</v>
      </c>
      <c r="G221" s="2">
        <f t="shared" si="10"/>
        <v>2020</v>
      </c>
      <c r="H221" s="2">
        <f t="shared" si="11"/>
        <v>-512.42999999999995</v>
      </c>
    </row>
    <row r="222" spans="1:8" x14ac:dyDescent="0.25">
      <c r="A222" s="1">
        <v>44120</v>
      </c>
      <c r="B222" t="s">
        <v>237</v>
      </c>
      <c r="C222" t="s">
        <v>11</v>
      </c>
      <c r="D222">
        <v>1646.01</v>
      </c>
      <c r="E222" t="s">
        <v>7</v>
      </c>
      <c r="F222" s="2" t="str">
        <f t="shared" si="9"/>
        <v>Oct</v>
      </c>
      <c r="G222" s="2">
        <f t="shared" si="10"/>
        <v>2020</v>
      </c>
      <c r="H222" s="2">
        <f t="shared" si="11"/>
        <v>-1646.01</v>
      </c>
    </row>
    <row r="223" spans="1:8" x14ac:dyDescent="0.25">
      <c r="A223" s="1">
        <v>44120</v>
      </c>
      <c r="B223" t="s">
        <v>238</v>
      </c>
      <c r="C223" t="s">
        <v>11</v>
      </c>
      <c r="D223">
        <v>1158.27</v>
      </c>
      <c r="E223" t="s">
        <v>7</v>
      </c>
      <c r="F223" s="2" t="str">
        <f t="shared" si="9"/>
        <v>Oct</v>
      </c>
      <c r="G223" s="2">
        <f t="shared" si="10"/>
        <v>2020</v>
      </c>
      <c r="H223" s="2">
        <f t="shared" si="11"/>
        <v>-1158.27</v>
      </c>
    </row>
    <row r="224" spans="1:8" x14ac:dyDescent="0.25">
      <c r="A224" s="1">
        <v>44122</v>
      </c>
      <c r="B224" t="s">
        <v>239</v>
      </c>
      <c r="C224" t="s">
        <v>9</v>
      </c>
      <c r="D224">
        <v>306.89999999999998</v>
      </c>
      <c r="E224" t="s">
        <v>7</v>
      </c>
      <c r="F224" s="2" t="str">
        <f t="shared" si="9"/>
        <v>Oct</v>
      </c>
      <c r="G224" s="2">
        <f t="shared" si="10"/>
        <v>2020</v>
      </c>
      <c r="H224" s="2">
        <f t="shared" si="11"/>
        <v>-306.89999999999998</v>
      </c>
    </row>
    <row r="225" spans="1:8" x14ac:dyDescent="0.25">
      <c r="A225" s="1">
        <v>44123</v>
      </c>
      <c r="B225" t="s">
        <v>240</v>
      </c>
      <c r="C225" t="s">
        <v>35</v>
      </c>
      <c r="D225">
        <v>179.51</v>
      </c>
      <c r="E225" t="s">
        <v>7</v>
      </c>
      <c r="F225" s="2" t="str">
        <f t="shared" si="9"/>
        <v>Oct</v>
      </c>
      <c r="G225" s="2">
        <f t="shared" si="10"/>
        <v>2020</v>
      </c>
      <c r="H225" s="2">
        <f t="shared" si="11"/>
        <v>-179.51</v>
      </c>
    </row>
    <row r="226" spans="1:8" x14ac:dyDescent="0.25">
      <c r="A226" s="1">
        <v>44127</v>
      </c>
      <c r="B226" t="s">
        <v>241</v>
      </c>
      <c r="C226" t="s">
        <v>17</v>
      </c>
      <c r="D226">
        <v>1216.57</v>
      </c>
      <c r="E226" t="s">
        <v>7</v>
      </c>
      <c r="F226" s="2" t="str">
        <f t="shared" si="9"/>
        <v>Oct</v>
      </c>
      <c r="G226" s="2">
        <f t="shared" si="10"/>
        <v>2020</v>
      </c>
      <c r="H226" s="2">
        <f t="shared" si="11"/>
        <v>-1216.57</v>
      </c>
    </row>
    <row r="227" spans="1:8" x14ac:dyDescent="0.25">
      <c r="A227" s="1">
        <v>44128</v>
      </c>
      <c r="B227" t="s">
        <v>242</v>
      </c>
      <c r="C227" t="s">
        <v>22</v>
      </c>
      <c r="D227">
        <v>1553.63</v>
      </c>
      <c r="E227" t="s">
        <v>7</v>
      </c>
      <c r="F227" s="2" t="str">
        <f t="shared" si="9"/>
        <v>Oct</v>
      </c>
      <c r="G227" s="2">
        <f t="shared" si="10"/>
        <v>2020</v>
      </c>
      <c r="H227" s="2">
        <f t="shared" si="11"/>
        <v>-1553.63</v>
      </c>
    </row>
    <row r="228" spans="1:8" x14ac:dyDescent="0.25">
      <c r="A228" s="1">
        <v>44130</v>
      </c>
      <c r="B228" t="s">
        <v>243</v>
      </c>
      <c r="C228" t="s">
        <v>27</v>
      </c>
      <c r="D228">
        <v>601.73</v>
      </c>
      <c r="E228" t="s">
        <v>7</v>
      </c>
      <c r="F228" s="2" t="str">
        <f t="shared" si="9"/>
        <v>Oct</v>
      </c>
      <c r="G228" s="2">
        <f t="shared" si="10"/>
        <v>2020</v>
      </c>
      <c r="H228" s="2">
        <f t="shared" si="11"/>
        <v>-601.73</v>
      </c>
    </row>
    <row r="229" spans="1:8" x14ac:dyDescent="0.25">
      <c r="A229" s="1">
        <v>44131</v>
      </c>
      <c r="B229" t="s">
        <v>244</v>
      </c>
      <c r="C229" t="s">
        <v>17</v>
      </c>
      <c r="D229">
        <v>617.71</v>
      </c>
      <c r="E229" t="s">
        <v>7</v>
      </c>
      <c r="F229" s="2" t="str">
        <f t="shared" si="9"/>
        <v>Oct</v>
      </c>
      <c r="G229" s="2">
        <f t="shared" si="10"/>
        <v>2020</v>
      </c>
      <c r="H229" s="2">
        <f t="shared" si="11"/>
        <v>-617.71</v>
      </c>
    </row>
    <row r="230" spans="1:8" x14ac:dyDescent="0.25">
      <c r="A230" s="1">
        <v>44131</v>
      </c>
      <c r="B230" t="s">
        <v>245</v>
      </c>
      <c r="C230" t="s">
        <v>11</v>
      </c>
      <c r="D230">
        <v>1895.7</v>
      </c>
      <c r="E230" t="s">
        <v>7</v>
      </c>
      <c r="F230" s="2" t="str">
        <f t="shared" si="9"/>
        <v>Oct</v>
      </c>
      <c r="G230" s="2">
        <f t="shared" si="10"/>
        <v>2020</v>
      </c>
      <c r="H230" s="2">
        <f t="shared" si="11"/>
        <v>-1895.7</v>
      </c>
    </row>
    <row r="231" spans="1:8" x14ac:dyDescent="0.25">
      <c r="A231" s="1">
        <v>44131</v>
      </c>
      <c r="B231" t="s">
        <v>246</v>
      </c>
      <c r="C231" t="s">
        <v>22</v>
      </c>
      <c r="D231">
        <v>536.65</v>
      </c>
      <c r="E231" t="s">
        <v>7</v>
      </c>
      <c r="F231" s="2" t="str">
        <f t="shared" si="9"/>
        <v>Oct</v>
      </c>
      <c r="G231" s="2">
        <f t="shared" si="10"/>
        <v>2020</v>
      </c>
      <c r="H231" s="2">
        <f t="shared" si="11"/>
        <v>-536.65</v>
      </c>
    </row>
    <row r="232" spans="1:8" x14ac:dyDescent="0.25">
      <c r="A232" s="1">
        <v>44132</v>
      </c>
      <c r="B232" t="s">
        <v>247</v>
      </c>
      <c r="C232" t="s">
        <v>13</v>
      </c>
      <c r="D232">
        <v>1923</v>
      </c>
      <c r="E232" t="s">
        <v>14</v>
      </c>
      <c r="F232" s="2" t="str">
        <f t="shared" si="9"/>
        <v>Oct</v>
      </c>
      <c r="G232" s="2">
        <f t="shared" si="10"/>
        <v>2020</v>
      </c>
      <c r="H232" s="2">
        <f t="shared" si="11"/>
        <v>1923</v>
      </c>
    </row>
    <row r="233" spans="1:8" x14ac:dyDescent="0.25">
      <c r="A233" s="1">
        <v>44133</v>
      </c>
      <c r="B233" t="s">
        <v>248</v>
      </c>
      <c r="C233" t="s">
        <v>9</v>
      </c>
      <c r="D233">
        <v>15.32</v>
      </c>
      <c r="E233" t="s">
        <v>7</v>
      </c>
      <c r="F233" s="2" t="str">
        <f t="shared" si="9"/>
        <v>Oct</v>
      </c>
      <c r="G233" s="2">
        <f t="shared" si="10"/>
        <v>2020</v>
      </c>
      <c r="H233" s="2">
        <f t="shared" si="11"/>
        <v>-15.32</v>
      </c>
    </row>
    <row r="234" spans="1:8" x14ac:dyDescent="0.25">
      <c r="A234" s="1">
        <v>44134</v>
      </c>
      <c r="B234" t="s">
        <v>249</v>
      </c>
      <c r="C234" t="s">
        <v>27</v>
      </c>
      <c r="D234">
        <v>589.61</v>
      </c>
      <c r="E234" t="s">
        <v>7</v>
      </c>
      <c r="F234" s="2" t="str">
        <f t="shared" si="9"/>
        <v>Oct</v>
      </c>
      <c r="G234" s="2">
        <f t="shared" si="10"/>
        <v>2020</v>
      </c>
      <c r="H234" s="2">
        <f t="shared" si="11"/>
        <v>-589.61</v>
      </c>
    </row>
    <row r="235" spans="1:8" x14ac:dyDescent="0.25">
      <c r="A235" s="1">
        <v>44135</v>
      </c>
      <c r="B235" t="s">
        <v>250</v>
      </c>
      <c r="C235" t="s">
        <v>35</v>
      </c>
      <c r="D235">
        <v>1408.95</v>
      </c>
      <c r="E235" t="s">
        <v>7</v>
      </c>
      <c r="F235" s="2" t="str">
        <f t="shared" si="9"/>
        <v>Oct</v>
      </c>
      <c r="G235" s="2">
        <f t="shared" si="10"/>
        <v>2020</v>
      </c>
      <c r="H235" s="2">
        <f t="shared" si="11"/>
        <v>-1408.95</v>
      </c>
    </row>
    <row r="236" spans="1:8" x14ac:dyDescent="0.25">
      <c r="A236" s="1">
        <v>44136</v>
      </c>
      <c r="B236" t="s">
        <v>251</v>
      </c>
      <c r="C236" t="s">
        <v>22</v>
      </c>
      <c r="D236">
        <v>1848.58</v>
      </c>
      <c r="E236" t="s">
        <v>7</v>
      </c>
      <c r="F236" s="2" t="str">
        <f t="shared" si="9"/>
        <v>Nov</v>
      </c>
      <c r="G236" s="2">
        <f t="shared" si="10"/>
        <v>2020</v>
      </c>
      <c r="H236" s="2">
        <f t="shared" si="11"/>
        <v>-1848.58</v>
      </c>
    </row>
    <row r="237" spans="1:8" x14ac:dyDescent="0.25">
      <c r="A237" s="1">
        <v>44136</v>
      </c>
      <c r="B237" t="s">
        <v>252</v>
      </c>
      <c r="C237" t="s">
        <v>22</v>
      </c>
      <c r="D237">
        <v>856.03</v>
      </c>
      <c r="E237" t="s">
        <v>7</v>
      </c>
      <c r="F237" s="2" t="str">
        <f t="shared" si="9"/>
        <v>Nov</v>
      </c>
      <c r="G237" s="2">
        <f t="shared" si="10"/>
        <v>2020</v>
      </c>
      <c r="H237" s="2">
        <f t="shared" si="11"/>
        <v>-856.03</v>
      </c>
    </row>
    <row r="238" spans="1:8" x14ac:dyDescent="0.25">
      <c r="A238" s="1">
        <v>44137</v>
      </c>
      <c r="B238" t="s">
        <v>253</v>
      </c>
      <c r="C238" t="s">
        <v>9</v>
      </c>
      <c r="D238">
        <v>1817.74</v>
      </c>
      <c r="E238" t="s">
        <v>7</v>
      </c>
      <c r="F238" s="2" t="str">
        <f t="shared" si="9"/>
        <v>Nov</v>
      </c>
      <c r="G238" s="2">
        <f t="shared" si="10"/>
        <v>2020</v>
      </c>
      <c r="H238" s="2">
        <f t="shared" si="11"/>
        <v>-1817.74</v>
      </c>
    </row>
    <row r="239" spans="1:8" x14ac:dyDescent="0.25">
      <c r="A239" s="1">
        <v>44139</v>
      </c>
      <c r="B239" t="s">
        <v>254</v>
      </c>
      <c r="C239" t="s">
        <v>11</v>
      </c>
      <c r="D239">
        <v>128.68</v>
      </c>
      <c r="E239" t="s">
        <v>7</v>
      </c>
      <c r="F239" s="2" t="str">
        <f t="shared" si="9"/>
        <v>Nov</v>
      </c>
      <c r="G239" s="2">
        <f t="shared" si="10"/>
        <v>2020</v>
      </c>
      <c r="H239" s="2">
        <f t="shared" si="11"/>
        <v>-128.68</v>
      </c>
    </row>
    <row r="240" spans="1:8" x14ac:dyDescent="0.25">
      <c r="A240" s="1">
        <v>44141</v>
      </c>
      <c r="B240" t="s">
        <v>255</v>
      </c>
      <c r="C240" t="s">
        <v>35</v>
      </c>
      <c r="D240">
        <v>883.92</v>
      </c>
      <c r="E240" t="s">
        <v>7</v>
      </c>
      <c r="F240" s="2" t="str">
        <f t="shared" si="9"/>
        <v>Nov</v>
      </c>
      <c r="G240" s="2">
        <f t="shared" si="10"/>
        <v>2020</v>
      </c>
      <c r="H240" s="2">
        <f t="shared" si="11"/>
        <v>-883.92</v>
      </c>
    </row>
    <row r="241" spans="1:8" x14ac:dyDescent="0.25">
      <c r="A241" s="1">
        <v>44142</v>
      </c>
      <c r="B241" t="s">
        <v>256</v>
      </c>
      <c r="C241" t="s">
        <v>35</v>
      </c>
      <c r="D241">
        <v>1402.47</v>
      </c>
      <c r="E241" t="s">
        <v>7</v>
      </c>
      <c r="F241" s="2" t="str">
        <f t="shared" si="9"/>
        <v>Nov</v>
      </c>
      <c r="G241" s="2">
        <f t="shared" si="10"/>
        <v>2020</v>
      </c>
      <c r="H241" s="2">
        <f t="shared" si="11"/>
        <v>-1402.47</v>
      </c>
    </row>
    <row r="242" spans="1:8" x14ac:dyDescent="0.25">
      <c r="A242" s="1">
        <v>44144</v>
      </c>
      <c r="B242" t="s">
        <v>257</v>
      </c>
      <c r="C242" t="s">
        <v>27</v>
      </c>
      <c r="D242">
        <v>881.14</v>
      </c>
      <c r="E242" t="s">
        <v>7</v>
      </c>
      <c r="F242" s="2" t="str">
        <f t="shared" si="9"/>
        <v>Nov</v>
      </c>
      <c r="G242" s="2">
        <f t="shared" si="10"/>
        <v>2020</v>
      </c>
      <c r="H242" s="2">
        <f t="shared" si="11"/>
        <v>-881.14</v>
      </c>
    </row>
    <row r="243" spans="1:8" x14ac:dyDescent="0.25">
      <c r="A243" s="1">
        <v>44145</v>
      </c>
      <c r="B243" t="s">
        <v>258</v>
      </c>
      <c r="C243" t="s">
        <v>17</v>
      </c>
      <c r="D243">
        <v>1471.72</v>
      </c>
      <c r="E243" t="s">
        <v>7</v>
      </c>
      <c r="F243" s="2" t="str">
        <f t="shared" si="9"/>
        <v>Nov</v>
      </c>
      <c r="G243" s="2">
        <f t="shared" si="10"/>
        <v>2020</v>
      </c>
      <c r="H243" s="2">
        <f t="shared" si="11"/>
        <v>-1471.72</v>
      </c>
    </row>
    <row r="244" spans="1:8" x14ac:dyDescent="0.25">
      <c r="A244" s="1">
        <v>44145</v>
      </c>
      <c r="B244" t="s">
        <v>259</v>
      </c>
      <c r="C244" t="s">
        <v>6</v>
      </c>
      <c r="D244">
        <v>191.74</v>
      </c>
      <c r="E244" t="s">
        <v>7</v>
      </c>
      <c r="F244" s="2" t="str">
        <f t="shared" si="9"/>
        <v>Nov</v>
      </c>
      <c r="G244" s="2">
        <f t="shared" si="10"/>
        <v>2020</v>
      </c>
      <c r="H244" s="2">
        <f t="shared" si="11"/>
        <v>-191.74</v>
      </c>
    </row>
    <row r="245" spans="1:8" x14ac:dyDescent="0.25">
      <c r="A245" s="1">
        <v>44147</v>
      </c>
      <c r="B245" t="s">
        <v>260</v>
      </c>
      <c r="C245" t="s">
        <v>6</v>
      </c>
      <c r="D245">
        <v>1999.15</v>
      </c>
      <c r="E245" t="s">
        <v>7</v>
      </c>
      <c r="F245" s="2" t="str">
        <f t="shared" si="9"/>
        <v>Nov</v>
      </c>
      <c r="G245" s="2">
        <f t="shared" si="10"/>
        <v>2020</v>
      </c>
      <c r="H245" s="2">
        <f t="shared" si="11"/>
        <v>-1999.15</v>
      </c>
    </row>
    <row r="246" spans="1:8" x14ac:dyDescent="0.25">
      <c r="A246" s="1">
        <v>44147</v>
      </c>
      <c r="B246" t="s">
        <v>261</v>
      </c>
      <c r="C246" t="s">
        <v>35</v>
      </c>
      <c r="D246">
        <v>1156.73</v>
      </c>
      <c r="E246" t="s">
        <v>7</v>
      </c>
      <c r="F246" s="2" t="str">
        <f t="shared" si="9"/>
        <v>Nov</v>
      </c>
      <c r="G246" s="2">
        <f t="shared" si="10"/>
        <v>2020</v>
      </c>
      <c r="H246" s="2">
        <f t="shared" si="11"/>
        <v>-1156.73</v>
      </c>
    </row>
    <row r="247" spans="1:8" x14ac:dyDescent="0.25">
      <c r="A247" s="1">
        <v>44149</v>
      </c>
      <c r="B247" t="s">
        <v>262</v>
      </c>
      <c r="C247" t="s">
        <v>9</v>
      </c>
      <c r="D247">
        <v>946.3</v>
      </c>
      <c r="E247" t="s">
        <v>7</v>
      </c>
      <c r="F247" s="2" t="str">
        <f t="shared" si="9"/>
        <v>Nov</v>
      </c>
      <c r="G247" s="2">
        <f t="shared" si="10"/>
        <v>2020</v>
      </c>
      <c r="H247" s="2">
        <f t="shared" si="11"/>
        <v>-946.3</v>
      </c>
    </row>
    <row r="248" spans="1:8" x14ac:dyDescent="0.25">
      <c r="A248" s="1">
        <v>44149</v>
      </c>
      <c r="B248" t="s">
        <v>263</v>
      </c>
      <c r="C248" t="s">
        <v>35</v>
      </c>
      <c r="D248">
        <v>371.16</v>
      </c>
      <c r="E248" t="s">
        <v>7</v>
      </c>
      <c r="F248" s="2" t="str">
        <f t="shared" si="9"/>
        <v>Nov</v>
      </c>
      <c r="G248" s="2">
        <f t="shared" si="10"/>
        <v>2020</v>
      </c>
      <c r="H248" s="2">
        <f t="shared" si="11"/>
        <v>-371.16</v>
      </c>
    </row>
    <row r="249" spans="1:8" x14ac:dyDescent="0.25">
      <c r="A249" s="1">
        <v>44149</v>
      </c>
      <c r="B249" t="s">
        <v>264</v>
      </c>
      <c r="C249" t="s">
        <v>27</v>
      </c>
      <c r="D249">
        <v>1938.42</v>
      </c>
      <c r="E249" t="s">
        <v>7</v>
      </c>
      <c r="F249" s="2" t="str">
        <f t="shared" si="9"/>
        <v>Nov</v>
      </c>
      <c r="G249" s="2">
        <f t="shared" si="10"/>
        <v>2020</v>
      </c>
      <c r="H249" s="2">
        <f t="shared" si="11"/>
        <v>-1938.42</v>
      </c>
    </row>
    <row r="250" spans="1:8" x14ac:dyDescent="0.25">
      <c r="A250" s="1">
        <v>44149</v>
      </c>
      <c r="B250" t="s">
        <v>265</v>
      </c>
      <c r="C250" t="s">
        <v>17</v>
      </c>
      <c r="D250">
        <v>673.28</v>
      </c>
      <c r="E250" t="s">
        <v>7</v>
      </c>
      <c r="F250" s="2" t="str">
        <f t="shared" si="9"/>
        <v>Nov</v>
      </c>
      <c r="G250" s="2">
        <f t="shared" si="10"/>
        <v>2020</v>
      </c>
      <c r="H250" s="2">
        <f t="shared" si="11"/>
        <v>-673.28</v>
      </c>
    </row>
    <row r="251" spans="1:8" x14ac:dyDescent="0.25">
      <c r="A251" s="1">
        <v>44150</v>
      </c>
      <c r="B251" t="s">
        <v>266</v>
      </c>
      <c r="C251" t="s">
        <v>9</v>
      </c>
      <c r="D251">
        <v>666.31</v>
      </c>
      <c r="E251" t="s">
        <v>7</v>
      </c>
      <c r="F251" s="2" t="str">
        <f t="shared" si="9"/>
        <v>Nov</v>
      </c>
      <c r="G251" s="2">
        <f t="shared" si="10"/>
        <v>2020</v>
      </c>
      <c r="H251" s="2">
        <f t="shared" si="11"/>
        <v>-666.31</v>
      </c>
    </row>
    <row r="252" spans="1:8" x14ac:dyDescent="0.25">
      <c r="A252" s="1">
        <v>44150</v>
      </c>
      <c r="B252" t="s">
        <v>267</v>
      </c>
      <c r="C252" t="s">
        <v>35</v>
      </c>
      <c r="D252">
        <v>1328.54</v>
      </c>
      <c r="E252" t="s">
        <v>7</v>
      </c>
      <c r="F252" s="2" t="str">
        <f t="shared" si="9"/>
        <v>Nov</v>
      </c>
      <c r="G252" s="2">
        <f t="shared" si="10"/>
        <v>2020</v>
      </c>
      <c r="H252" s="2">
        <f t="shared" si="11"/>
        <v>-1328.54</v>
      </c>
    </row>
    <row r="253" spans="1:8" x14ac:dyDescent="0.25">
      <c r="A253" s="1">
        <v>44151</v>
      </c>
      <c r="B253" t="s">
        <v>268</v>
      </c>
      <c r="C253" t="s">
        <v>6</v>
      </c>
      <c r="D253">
        <v>915.1</v>
      </c>
      <c r="E253" t="s">
        <v>7</v>
      </c>
      <c r="F253" s="2" t="str">
        <f t="shared" si="9"/>
        <v>Nov</v>
      </c>
      <c r="G253" s="2">
        <f t="shared" si="10"/>
        <v>2020</v>
      </c>
      <c r="H253" s="2">
        <f t="shared" si="11"/>
        <v>-915.1</v>
      </c>
    </row>
    <row r="254" spans="1:8" x14ac:dyDescent="0.25">
      <c r="A254" s="1">
        <v>44151</v>
      </c>
      <c r="B254" t="s">
        <v>269</v>
      </c>
      <c r="C254" t="s">
        <v>25</v>
      </c>
      <c r="D254">
        <v>240.68</v>
      </c>
      <c r="E254" t="s">
        <v>7</v>
      </c>
      <c r="F254" s="2" t="str">
        <f t="shared" si="9"/>
        <v>Nov</v>
      </c>
      <c r="G254" s="2">
        <f t="shared" si="10"/>
        <v>2020</v>
      </c>
      <c r="H254" s="2">
        <f t="shared" si="11"/>
        <v>-240.68</v>
      </c>
    </row>
    <row r="255" spans="1:8" x14ac:dyDescent="0.25">
      <c r="A255" s="1">
        <v>44152</v>
      </c>
      <c r="B255" t="s">
        <v>270</v>
      </c>
      <c r="C255" t="s">
        <v>6</v>
      </c>
      <c r="D255">
        <v>1318.74</v>
      </c>
      <c r="E255" t="s">
        <v>7</v>
      </c>
      <c r="F255" s="2" t="str">
        <f t="shared" si="9"/>
        <v>Nov</v>
      </c>
      <c r="G255" s="2">
        <f t="shared" si="10"/>
        <v>2020</v>
      </c>
      <c r="H255" s="2">
        <f t="shared" si="11"/>
        <v>-1318.74</v>
      </c>
    </row>
    <row r="256" spans="1:8" x14ac:dyDescent="0.25">
      <c r="A256" s="1">
        <v>44155</v>
      </c>
      <c r="B256" t="s">
        <v>271</v>
      </c>
      <c r="C256" t="s">
        <v>17</v>
      </c>
      <c r="D256">
        <v>117.87</v>
      </c>
      <c r="E256" t="s">
        <v>7</v>
      </c>
      <c r="F256" s="2" t="str">
        <f t="shared" si="9"/>
        <v>Nov</v>
      </c>
      <c r="G256" s="2">
        <f t="shared" si="10"/>
        <v>2020</v>
      </c>
      <c r="H256" s="2">
        <f t="shared" si="11"/>
        <v>-117.87</v>
      </c>
    </row>
    <row r="257" spans="1:8" x14ac:dyDescent="0.25">
      <c r="A257" s="1">
        <v>44157</v>
      </c>
      <c r="B257" t="s">
        <v>272</v>
      </c>
      <c r="C257" t="s">
        <v>27</v>
      </c>
      <c r="D257">
        <v>1254.56</v>
      </c>
      <c r="E257" t="s">
        <v>7</v>
      </c>
      <c r="F257" s="2" t="str">
        <f t="shared" si="9"/>
        <v>Nov</v>
      </c>
      <c r="G257" s="2">
        <f t="shared" si="10"/>
        <v>2020</v>
      </c>
      <c r="H257" s="2">
        <f t="shared" si="11"/>
        <v>-1254.56</v>
      </c>
    </row>
    <row r="258" spans="1:8" x14ac:dyDescent="0.25">
      <c r="A258" s="1">
        <v>44158</v>
      </c>
      <c r="B258" t="s">
        <v>273</v>
      </c>
      <c r="C258" t="s">
        <v>22</v>
      </c>
      <c r="D258">
        <v>541.44000000000005</v>
      </c>
      <c r="E258" t="s">
        <v>7</v>
      </c>
      <c r="F258" s="2" t="str">
        <f t="shared" ref="F258:F321" si="12">TEXT(A258,"mmm")</f>
        <v>Nov</v>
      </c>
      <c r="G258" s="2">
        <f t="shared" ref="G258:G321" si="13">YEAR(A258)</f>
        <v>2020</v>
      </c>
      <c r="H258" s="2">
        <f t="shared" ref="H258:H321" si="14">IF(E258="Income",D258,-D258)</f>
        <v>-541.44000000000005</v>
      </c>
    </row>
    <row r="259" spans="1:8" x14ac:dyDescent="0.25">
      <c r="A259" s="1">
        <v>44160</v>
      </c>
      <c r="B259" t="s">
        <v>274</v>
      </c>
      <c r="C259" t="s">
        <v>20</v>
      </c>
      <c r="D259">
        <v>4089</v>
      </c>
      <c r="E259" t="s">
        <v>14</v>
      </c>
      <c r="F259" s="2" t="str">
        <f t="shared" si="12"/>
        <v>Nov</v>
      </c>
      <c r="G259" s="2">
        <f t="shared" si="13"/>
        <v>2020</v>
      </c>
      <c r="H259" s="2">
        <f t="shared" si="14"/>
        <v>4089</v>
      </c>
    </row>
    <row r="260" spans="1:8" x14ac:dyDescent="0.25">
      <c r="A260" s="1">
        <v>44160</v>
      </c>
      <c r="B260" t="s">
        <v>275</v>
      </c>
      <c r="C260" t="s">
        <v>27</v>
      </c>
      <c r="D260">
        <v>251.64</v>
      </c>
      <c r="E260" t="s">
        <v>7</v>
      </c>
      <c r="F260" s="2" t="str">
        <f t="shared" si="12"/>
        <v>Nov</v>
      </c>
      <c r="G260" s="2">
        <f t="shared" si="13"/>
        <v>2020</v>
      </c>
      <c r="H260" s="2">
        <f t="shared" si="14"/>
        <v>-251.64</v>
      </c>
    </row>
    <row r="261" spans="1:8" x14ac:dyDescent="0.25">
      <c r="A261" s="1">
        <v>44161</v>
      </c>
      <c r="B261" t="s">
        <v>276</v>
      </c>
      <c r="C261" t="s">
        <v>22</v>
      </c>
      <c r="D261">
        <v>1422.47</v>
      </c>
      <c r="E261" t="s">
        <v>7</v>
      </c>
      <c r="F261" s="2" t="str">
        <f t="shared" si="12"/>
        <v>Nov</v>
      </c>
      <c r="G261" s="2">
        <f t="shared" si="13"/>
        <v>2020</v>
      </c>
      <c r="H261" s="2">
        <f t="shared" si="14"/>
        <v>-1422.47</v>
      </c>
    </row>
    <row r="262" spans="1:8" x14ac:dyDescent="0.25">
      <c r="A262" s="1">
        <v>44162</v>
      </c>
      <c r="B262" t="s">
        <v>277</v>
      </c>
      <c r="C262" t="s">
        <v>6</v>
      </c>
      <c r="D262">
        <v>1108.98</v>
      </c>
      <c r="E262" t="s">
        <v>7</v>
      </c>
      <c r="F262" s="2" t="str">
        <f t="shared" si="12"/>
        <v>Nov</v>
      </c>
      <c r="G262" s="2">
        <f t="shared" si="13"/>
        <v>2020</v>
      </c>
      <c r="H262" s="2">
        <f t="shared" si="14"/>
        <v>-1108.98</v>
      </c>
    </row>
    <row r="263" spans="1:8" x14ac:dyDescent="0.25">
      <c r="A263" s="1">
        <v>44162</v>
      </c>
      <c r="B263" t="s">
        <v>278</v>
      </c>
      <c r="C263" t="s">
        <v>13</v>
      </c>
      <c r="D263">
        <v>4280</v>
      </c>
      <c r="E263" t="s">
        <v>14</v>
      </c>
      <c r="F263" s="2" t="str">
        <f t="shared" si="12"/>
        <v>Nov</v>
      </c>
      <c r="G263" s="2">
        <f t="shared" si="13"/>
        <v>2020</v>
      </c>
      <c r="H263" s="2">
        <f t="shared" si="14"/>
        <v>4280</v>
      </c>
    </row>
    <row r="264" spans="1:8" x14ac:dyDescent="0.25">
      <c r="A264" s="1">
        <v>44164</v>
      </c>
      <c r="B264" t="s">
        <v>279</v>
      </c>
      <c r="C264" t="s">
        <v>9</v>
      </c>
      <c r="D264">
        <v>1001.77</v>
      </c>
      <c r="E264" t="s">
        <v>7</v>
      </c>
      <c r="F264" s="2" t="str">
        <f t="shared" si="12"/>
        <v>Nov</v>
      </c>
      <c r="G264" s="2">
        <f t="shared" si="13"/>
        <v>2020</v>
      </c>
      <c r="H264" s="2">
        <f t="shared" si="14"/>
        <v>-1001.77</v>
      </c>
    </row>
    <row r="265" spans="1:8" x14ac:dyDescent="0.25">
      <c r="A265" s="1">
        <v>44166</v>
      </c>
      <c r="B265" t="s">
        <v>280</v>
      </c>
      <c r="C265" t="s">
        <v>35</v>
      </c>
      <c r="D265">
        <v>836.83</v>
      </c>
      <c r="E265" t="s">
        <v>7</v>
      </c>
      <c r="F265" s="2" t="str">
        <f t="shared" si="12"/>
        <v>Dec</v>
      </c>
      <c r="G265" s="2">
        <f t="shared" si="13"/>
        <v>2020</v>
      </c>
      <c r="H265" s="2">
        <f t="shared" si="14"/>
        <v>-836.83</v>
      </c>
    </row>
    <row r="266" spans="1:8" x14ac:dyDescent="0.25">
      <c r="A266" s="1">
        <v>44170</v>
      </c>
      <c r="B266" t="s">
        <v>281</v>
      </c>
      <c r="C266" t="s">
        <v>27</v>
      </c>
      <c r="D266">
        <v>495.02</v>
      </c>
      <c r="E266" t="s">
        <v>7</v>
      </c>
      <c r="F266" s="2" t="str">
        <f t="shared" si="12"/>
        <v>Dec</v>
      </c>
      <c r="G266" s="2">
        <f t="shared" si="13"/>
        <v>2020</v>
      </c>
      <c r="H266" s="2">
        <f t="shared" si="14"/>
        <v>-495.02</v>
      </c>
    </row>
    <row r="267" spans="1:8" x14ac:dyDescent="0.25">
      <c r="A267" s="1">
        <v>44170</v>
      </c>
      <c r="B267" t="s">
        <v>282</v>
      </c>
      <c r="C267" t="s">
        <v>17</v>
      </c>
      <c r="D267">
        <v>389.31</v>
      </c>
      <c r="E267" t="s">
        <v>7</v>
      </c>
      <c r="F267" s="2" t="str">
        <f t="shared" si="12"/>
        <v>Dec</v>
      </c>
      <c r="G267" s="2">
        <f t="shared" si="13"/>
        <v>2020</v>
      </c>
      <c r="H267" s="2">
        <f t="shared" si="14"/>
        <v>-389.31</v>
      </c>
    </row>
    <row r="268" spans="1:8" x14ac:dyDescent="0.25">
      <c r="A268" s="1">
        <v>44171</v>
      </c>
      <c r="B268" t="s">
        <v>283</v>
      </c>
      <c r="C268" t="s">
        <v>9</v>
      </c>
      <c r="D268">
        <v>1729.41</v>
      </c>
      <c r="E268" t="s">
        <v>7</v>
      </c>
      <c r="F268" s="2" t="str">
        <f t="shared" si="12"/>
        <v>Dec</v>
      </c>
      <c r="G268" s="2">
        <f t="shared" si="13"/>
        <v>2020</v>
      </c>
      <c r="H268" s="2">
        <f t="shared" si="14"/>
        <v>-1729.41</v>
      </c>
    </row>
    <row r="269" spans="1:8" x14ac:dyDescent="0.25">
      <c r="A269" s="1">
        <v>44175</v>
      </c>
      <c r="B269" t="s">
        <v>284</v>
      </c>
      <c r="C269" t="s">
        <v>17</v>
      </c>
      <c r="D269">
        <v>686.35</v>
      </c>
      <c r="E269" t="s">
        <v>7</v>
      </c>
      <c r="F269" s="2" t="str">
        <f t="shared" si="12"/>
        <v>Dec</v>
      </c>
      <c r="G269" s="2">
        <f t="shared" si="13"/>
        <v>2020</v>
      </c>
      <c r="H269" s="2">
        <f t="shared" si="14"/>
        <v>-686.35</v>
      </c>
    </row>
    <row r="270" spans="1:8" x14ac:dyDescent="0.25">
      <c r="A270" s="1">
        <v>44175</v>
      </c>
      <c r="B270" t="s">
        <v>285</v>
      </c>
      <c r="C270" t="s">
        <v>35</v>
      </c>
      <c r="D270">
        <v>1642.89</v>
      </c>
      <c r="E270" t="s">
        <v>7</v>
      </c>
      <c r="F270" s="2" t="str">
        <f t="shared" si="12"/>
        <v>Dec</v>
      </c>
      <c r="G270" s="2">
        <f t="shared" si="13"/>
        <v>2020</v>
      </c>
      <c r="H270" s="2">
        <f t="shared" si="14"/>
        <v>-1642.89</v>
      </c>
    </row>
    <row r="271" spans="1:8" x14ac:dyDescent="0.25">
      <c r="A271" s="1">
        <v>44176</v>
      </c>
      <c r="B271" t="s">
        <v>286</v>
      </c>
      <c r="C271" t="s">
        <v>35</v>
      </c>
      <c r="D271">
        <v>1676.58</v>
      </c>
      <c r="E271" t="s">
        <v>7</v>
      </c>
      <c r="F271" s="2" t="str">
        <f t="shared" si="12"/>
        <v>Dec</v>
      </c>
      <c r="G271" s="2">
        <f t="shared" si="13"/>
        <v>2020</v>
      </c>
      <c r="H271" s="2">
        <f t="shared" si="14"/>
        <v>-1676.58</v>
      </c>
    </row>
    <row r="272" spans="1:8" x14ac:dyDescent="0.25">
      <c r="A272" s="1">
        <v>44177</v>
      </c>
      <c r="B272" t="s">
        <v>287</v>
      </c>
      <c r="C272" t="s">
        <v>27</v>
      </c>
      <c r="D272">
        <v>1731.87</v>
      </c>
      <c r="E272" t="s">
        <v>7</v>
      </c>
      <c r="F272" s="2" t="str">
        <f t="shared" si="12"/>
        <v>Dec</v>
      </c>
      <c r="G272" s="2">
        <f t="shared" si="13"/>
        <v>2020</v>
      </c>
      <c r="H272" s="2">
        <f t="shared" si="14"/>
        <v>-1731.87</v>
      </c>
    </row>
    <row r="273" spans="1:8" x14ac:dyDescent="0.25">
      <c r="A273" s="1">
        <v>44178</v>
      </c>
      <c r="B273" t="s">
        <v>288</v>
      </c>
      <c r="C273" t="s">
        <v>27</v>
      </c>
      <c r="D273">
        <v>696.8</v>
      </c>
      <c r="E273" t="s">
        <v>7</v>
      </c>
      <c r="F273" s="2" t="str">
        <f t="shared" si="12"/>
        <v>Dec</v>
      </c>
      <c r="G273" s="2">
        <f t="shared" si="13"/>
        <v>2020</v>
      </c>
      <c r="H273" s="2">
        <f t="shared" si="14"/>
        <v>-696.8</v>
      </c>
    </row>
    <row r="274" spans="1:8" x14ac:dyDescent="0.25">
      <c r="A274" s="1">
        <v>44179</v>
      </c>
      <c r="B274" t="s">
        <v>289</v>
      </c>
      <c r="C274" t="s">
        <v>17</v>
      </c>
      <c r="D274">
        <v>916.14</v>
      </c>
      <c r="E274" t="s">
        <v>7</v>
      </c>
      <c r="F274" s="2" t="str">
        <f t="shared" si="12"/>
        <v>Dec</v>
      </c>
      <c r="G274" s="2">
        <f t="shared" si="13"/>
        <v>2020</v>
      </c>
      <c r="H274" s="2">
        <f t="shared" si="14"/>
        <v>-916.14</v>
      </c>
    </row>
    <row r="275" spans="1:8" x14ac:dyDescent="0.25">
      <c r="A275" s="1">
        <v>44179</v>
      </c>
      <c r="B275" t="s">
        <v>290</v>
      </c>
      <c r="C275" t="s">
        <v>22</v>
      </c>
      <c r="D275">
        <v>1961.74</v>
      </c>
      <c r="E275" t="s">
        <v>7</v>
      </c>
      <c r="F275" s="2" t="str">
        <f t="shared" si="12"/>
        <v>Dec</v>
      </c>
      <c r="G275" s="2">
        <f t="shared" si="13"/>
        <v>2020</v>
      </c>
      <c r="H275" s="2">
        <f t="shared" si="14"/>
        <v>-1961.74</v>
      </c>
    </row>
    <row r="276" spans="1:8" x14ac:dyDescent="0.25">
      <c r="A276" s="1">
        <v>44181</v>
      </c>
      <c r="B276" t="s">
        <v>291</v>
      </c>
      <c r="C276" t="s">
        <v>17</v>
      </c>
      <c r="D276">
        <v>474.79</v>
      </c>
      <c r="E276" t="s">
        <v>7</v>
      </c>
      <c r="F276" s="2" t="str">
        <f t="shared" si="12"/>
        <v>Dec</v>
      </c>
      <c r="G276" s="2">
        <f t="shared" si="13"/>
        <v>2020</v>
      </c>
      <c r="H276" s="2">
        <f t="shared" si="14"/>
        <v>-474.79</v>
      </c>
    </row>
    <row r="277" spans="1:8" x14ac:dyDescent="0.25">
      <c r="A277" s="1">
        <v>44181</v>
      </c>
      <c r="B277" t="s">
        <v>292</v>
      </c>
      <c r="C277" t="s">
        <v>6</v>
      </c>
      <c r="D277">
        <v>643.16999999999996</v>
      </c>
      <c r="E277" t="s">
        <v>7</v>
      </c>
      <c r="F277" s="2" t="str">
        <f t="shared" si="12"/>
        <v>Dec</v>
      </c>
      <c r="G277" s="2">
        <f t="shared" si="13"/>
        <v>2020</v>
      </c>
      <c r="H277" s="2">
        <f t="shared" si="14"/>
        <v>-643.16999999999996</v>
      </c>
    </row>
    <row r="278" spans="1:8" x14ac:dyDescent="0.25">
      <c r="A278" s="1">
        <v>44181</v>
      </c>
      <c r="B278" t="s">
        <v>293</v>
      </c>
      <c r="C278" t="s">
        <v>17</v>
      </c>
      <c r="D278">
        <v>778.3</v>
      </c>
      <c r="E278" t="s">
        <v>7</v>
      </c>
      <c r="F278" s="2" t="str">
        <f t="shared" si="12"/>
        <v>Dec</v>
      </c>
      <c r="G278" s="2">
        <f t="shared" si="13"/>
        <v>2020</v>
      </c>
      <c r="H278" s="2">
        <f t="shared" si="14"/>
        <v>-778.3</v>
      </c>
    </row>
    <row r="279" spans="1:8" x14ac:dyDescent="0.25">
      <c r="A279" s="1">
        <v>44183</v>
      </c>
      <c r="B279" t="s">
        <v>294</v>
      </c>
      <c r="C279" t="s">
        <v>9</v>
      </c>
      <c r="D279">
        <v>995.7</v>
      </c>
      <c r="E279" t="s">
        <v>7</v>
      </c>
      <c r="F279" s="2" t="str">
        <f t="shared" si="12"/>
        <v>Dec</v>
      </c>
      <c r="G279" s="2">
        <f t="shared" si="13"/>
        <v>2020</v>
      </c>
      <c r="H279" s="2">
        <f t="shared" si="14"/>
        <v>-995.7</v>
      </c>
    </row>
    <row r="280" spans="1:8" x14ac:dyDescent="0.25">
      <c r="A280" s="1">
        <v>44183</v>
      </c>
      <c r="B280" t="s">
        <v>295</v>
      </c>
      <c r="C280" t="s">
        <v>20</v>
      </c>
      <c r="D280">
        <v>1322</v>
      </c>
      <c r="E280" t="s">
        <v>14</v>
      </c>
      <c r="F280" s="2" t="str">
        <f t="shared" si="12"/>
        <v>Dec</v>
      </c>
      <c r="G280" s="2">
        <f t="shared" si="13"/>
        <v>2020</v>
      </c>
      <c r="H280" s="2">
        <f t="shared" si="14"/>
        <v>1322</v>
      </c>
    </row>
    <row r="281" spans="1:8" x14ac:dyDescent="0.25">
      <c r="A281" s="1">
        <v>44185</v>
      </c>
      <c r="B281" t="s">
        <v>296</v>
      </c>
      <c r="C281" t="s">
        <v>27</v>
      </c>
      <c r="D281">
        <v>208.43</v>
      </c>
      <c r="E281" t="s">
        <v>7</v>
      </c>
      <c r="F281" s="2" t="str">
        <f t="shared" si="12"/>
        <v>Dec</v>
      </c>
      <c r="G281" s="2">
        <f t="shared" si="13"/>
        <v>2020</v>
      </c>
      <c r="H281" s="2">
        <f t="shared" si="14"/>
        <v>-208.43</v>
      </c>
    </row>
    <row r="282" spans="1:8" x14ac:dyDescent="0.25">
      <c r="A282" s="1">
        <v>44185</v>
      </c>
      <c r="B282" t="s">
        <v>297</v>
      </c>
      <c r="C282" t="s">
        <v>6</v>
      </c>
      <c r="D282">
        <v>1447.66</v>
      </c>
      <c r="E282" t="s">
        <v>7</v>
      </c>
      <c r="F282" s="2" t="str">
        <f t="shared" si="12"/>
        <v>Dec</v>
      </c>
      <c r="G282" s="2">
        <f t="shared" si="13"/>
        <v>2020</v>
      </c>
      <c r="H282" s="2">
        <f t="shared" si="14"/>
        <v>-1447.66</v>
      </c>
    </row>
    <row r="283" spans="1:8" x14ac:dyDescent="0.25">
      <c r="A283" s="1">
        <v>44187</v>
      </c>
      <c r="B283" t="s">
        <v>298</v>
      </c>
      <c r="C283" t="s">
        <v>9</v>
      </c>
      <c r="D283">
        <v>158.91</v>
      </c>
      <c r="E283" t="s">
        <v>7</v>
      </c>
      <c r="F283" s="2" t="str">
        <f t="shared" si="12"/>
        <v>Dec</v>
      </c>
      <c r="G283" s="2">
        <f t="shared" si="13"/>
        <v>2020</v>
      </c>
      <c r="H283" s="2">
        <f t="shared" si="14"/>
        <v>-158.91</v>
      </c>
    </row>
    <row r="284" spans="1:8" x14ac:dyDescent="0.25">
      <c r="A284" s="1">
        <v>44188</v>
      </c>
      <c r="B284" t="s">
        <v>299</v>
      </c>
      <c r="C284" t="s">
        <v>35</v>
      </c>
      <c r="D284">
        <v>683.74</v>
      </c>
      <c r="E284" t="s">
        <v>7</v>
      </c>
      <c r="F284" s="2" t="str">
        <f t="shared" si="12"/>
        <v>Dec</v>
      </c>
      <c r="G284" s="2">
        <f t="shared" si="13"/>
        <v>2020</v>
      </c>
      <c r="H284" s="2">
        <f t="shared" si="14"/>
        <v>-683.74</v>
      </c>
    </row>
    <row r="285" spans="1:8" x14ac:dyDescent="0.25">
      <c r="A285" s="1">
        <v>44188</v>
      </c>
      <c r="B285" t="s">
        <v>300</v>
      </c>
      <c r="C285" t="s">
        <v>11</v>
      </c>
      <c r="D285">
        <v>1705.01</v>
      </c>
      <c r="E285" t="s">
        <v>7</v>
      </c>
      <c r="F285" s="2" t="str">
        <f t="shared" si="12"/>
        <v>Dec</v>
      </c>
      <c r="G285" s="2">
        <f t="shared" si="13"/>
        <v>2020</v>
      </c>
      <c r="H285" s="2">
        <f t="shared" si="14"/>
        <v>-1705.01</v>
      </c>
    </row>
    <row r="286" spans="1:8" x14ac:dyDescent="0.25">
      <c r="A286" s="1">
        <v>44189</v>
      </c>
      <c r="B286" t="s">
        <v>301</v>
      </c>
      <c r="C286" t="s">
        <v>17</v>
      </c>
      <c r="D286">
        <v>1908.74</v>
      </c>
      <c r="E286" t="s">
        <v>7</v>
      </c>
      <c r="F286" s="2" t="str">
        <f t="shared" si="12"/>
        <v>Dec</v>
      </c>
      <c r="G286" s="2">
        <f t="shared" si="13"/>
        <v>2020</v>
      </c>
      <c r="H286" s="2">
        <f t="shared" si="14"/>
        <v>-1908.74</v>
      </c>
    </row>
    <row r="287" spans="1:8" x14ac:dyDescent="0.25">
      <c r="A287" s="1">
        <v>44190</v>
      </c>
      <c r="B287" t="s">
        <v>302</v>
      </c>
      <c r="C287" t="s">
        <v>27</v>
      </c>
      <c r="D287">
        <v>1746.04</v>
      </c>
      <c r="E287" t="s">
        <v>7</v>
      </c>
      <c r="F287" s="2" t="str">
        <f t="shared" si="12"/>
        <v>Dec</v>
      </c>
      <c r="G287" s="2">
        <f t="shared" si="13"/>
        <v>2020</v>
      </c>
      <c r="H287" s="2">
        <f t="shared" si="14"/>
        <v>-1746.04</v>
      </c>
    </row>
    <row r="288" spans="1:8" x14ac:dyDescent="0.25">
      <c r="A288" s="1">
        <v>44191</v>
      </c>
      <c r="B288" t="s">
        <v>303</v>
      </c>
      <c r="C288" t="s">
        <v>13</v>
      </c>
      <c r="D288">
        <v>2423</v>
      </c>
      <c r="E288" t="s">
        <v>14</v>
      </c>
      <c r="F288" s="2" t="str">
        <f t="shared" si="12"/>
        <v>Dec</v>
      </c>
      <c r="G288" s="2">
        <f t="shared" si="13"/>
        <v>2020</v>
      </c>
      <c r="H288" s="2">
        <f t="shared" si="14"/>
        <v>2423</v>
      </c>
    </row>
    <row r="289" spans="1:8" x14ac:dyDescent="0.25">
      <c r="A289" s="1">
        <v>44193</v>
      </c>
      <c r="B289" t="s">
        <v>304</v>
      </c>
      <c r="C289" t="s">
        <v>35</v>
      </c>
      <c r="D289">
        <v>1994.88</v>
      </c>
      <c r="E289" t="s">
        <v>7</v>
      </c>
      <c r="F289" s="2" t="str">
        <f t="shared" si="12"/>
        <v>Dec</v>
      </c>
      <c r="G289" s="2">
        <f t="shared" si="13"/>
        <v>2020</v>
      </c>
      <c r="H289" s="2">
        <f t="shared" si="14"/>
        <v>-1994.88</v>
      </c>
    </row>
    <row r="290" spans="1:8" x14ac:dyDescent="0.25">
      <c r="A290" s="1">
        <v>44195</v>
      </c>
      <c r="B290" t="s">
        <v>305</v>
      </c>
      <c r="C290" t="s">
        <v>17</v>
      </c>
      <c r="D290">
        <v>1956.89</v>
      </c>
      <c r="E290" t="s">
        <v>7</v>
      </c>
      <c r="F290" s="2" t="str">
        <f t="shared" si="12"/>
        <v>Dec</v>
      </c>
      <c r="G290" s="2">
        <f t="shared" si="13"/>
        <v>2020</v>
      </c>
      <c r="H290" s="2">
        <f t="shared" si="14"/>
        <v>-1956.89</v>
      </c>
    </row>
    <row r="291" spans="1:8" x14ac:dyDescent="0.25">
      <c r="A291" s="1">
        <v>44196</v>
      </c>
      <c r="B291" t="s">
        <v>306</v>
      </c>
      <c r="C291" t="s">
        <v>11</v>
      </c>
      <c r="D291">
        <v>892.92</v>
      </c>
      <c r="E291" t="s">
        <v>7</v>
      </c>
      <c r="F291" s="2" t="str">
        <f t="shared" si="12"/>
        <v>Dec</v>
      </c>
      <c r="G291" s="2">
        <f t="shared" si="13"/>
        <v>2020</v>
      </c>
      <c r="H291" s="2">
        <f t="shared" si="14"/>
        <v>-892.92</v>
      </c>
    </row>
    <row r="292" spans="1:8" x14ac:dyDescent="0.25">
      <c r="A292" s="1">
        <v>44197</v>
      </c>
      <c r="B292" t="s">
        <v>307</v>
      </c>
      <c r="C292" t="s">
        <v>6</v>
      </c>
      <c r="D292">
        <v>101.52</v>
      </c>
      <c r="E292" t="s">
        <v>7</v>
      </c>
      <c r="F292" s="2" t="str">
        <f t="shared" si="12"/>
        <v>Jan</v>
      </c>
      <c r="G292" s="2">
        <f t="shared" si="13"/>
        <v>2021</v>
      </c>
      <c r="H292" s="2">
        <f t="shared" si="14"/>
        <v>-101.52</v>
      </c>
    </row>
    <row r="293" spans="1:8" x14ac:dyDescent="0.25">
      <c r="A293" s="1">
        <v>44202</v>
      </c>
      <c r="B293" t="s">
        <v>308</v>
      </c>
      <c r="C293" t="s">
        <v>35</v>
      </c>
      <c r="D293">
        <v>723.34</v>
      </c>
      <c r="E293" t="s">
        <v>7</v>
      </c>
      <c r="F293" s="2" t="str">
        <f t="shared" si="12"/>
        <v>Jan</v>
      </c>
      <c r="G293" s="2">
        <f t="shared" si="13"/>
        <v>2021</v>
      </c>
      <c r="H293" s="2">
        <f t="shared" si="14"/>
        <v>-723.34</v>
      </c>
    </row>
    <row r="294" spans="1:8" x14ac:dyDescent="0.25">
      <c r="A294" s="1">
        <v>44202</v>
      </c>
      <c r="B294" t="s">
        <v>309</v>
      </c>
      <c r="C294" t="s">
        <v>22</v>
      </c>
      <c r="D294">
        <v>1067.02</v>
      </c>
      <c r="E294" t="s">
        <v>7</v>
      </c>
      <c r="F294" s="2" t="str">
        <f t="shared" si="12"/>
        <v>Jan</v>
      </c>
      <c r="G294" s="2">
        <f t="shared" si="13"/>
        <v>2021</v>
      </c>
      <c r="H294" s="2">
        <f t="shared" si="14"/>
        <v>-1067.02</v>
      </c>
    </row>
    <row r="295" spans="1:8" x14ac:dyDescent="0.25">
      <c r="A295" s="1">
        <v>44204</v>
      </c>
      <c r="B295" t="s">
        <v>310</v>
      </c>
      <c r="C295" t="s">
        <v>9</v>
      </c>
      <c r="D295">
        <v>348.27</v>
      </c>
      <c r="E295" t="s">
        <v>7</v>
      </c>
      <c r="F295" s="2" t="str">
        <f t="shared" si="12"/>
        <v>Jan</v>
      </c>
      <c r="G295" s="2">
        <f t="shared" si="13"/>
        <v>2021</v>
      </c>
      <c r="H295" s="2">
        <f t="shared" si="14"/>
        <v>-348.27</v>
      </c>
    </row>
    <row r="296" spans="1:8" x14ac:dyDescent="0.25">
      <c r="A296" s="1">
        <v>44206</v>
      </c>
      <c r="B296" t="s">
        <v>311</v>
      </c>
      <c r="C296" t="s">
        <v>20</v>
      </c>
      <c r="D296">
        <v>2472</v>
      </c>
      <c r="E296" t="s">
        <v>14</v>
      </c>
      <c r="F296" s="2" t="str">
        <f t="shared" si="12"/>
        <v>Jan</v>
      </c>
      <c r="G296" s="2">
        <f t="shared" si="13"/>
        <v>2021</v>
      </c>
      <c r="H296" s="2">
        <f t="shared" si="14"/>
        <v>2472</v>
      </c>
    </row>
    <row r="297" spans="1:8" x14ac:dyDescent="0.25">
      <c r="A297" s="1">
        <v>44206</v>
      </c>
      <c r="B297" t="s">
        <v>312</v>
      </c>
      <c r="C297" t="s">
        <v>9</v>
      </c>
      <c r="D297">
        <v>472.06</v>
      </c>
      <c r="E297" t="s">
        <v>7</v>
      </c>
      <c r="F297" s="2" t="str">
        <f t="shared" si="12"/>
        <v>Jan</v>
      </c>
      <c r="G297" s="2">
        <f t="shared" si="13"/>
        <v>2021</v>
      </c>
      <c r="H297" s="2">
        <f t="shared" si="14"/>
        <v>-472.06</v>
      </c>
    </row>
    <row r="298" spans="1:8" x14ac:dyDescent="0.25">
      <c r="A298" s="1">
        <v>44207</v>
      </c>
      <c r="B298" t="s">
        <v>313</v>
      </c>
      <c r="C298" t="s">
        <v>27</v>
      </c>
      <c r="D298">
        <v>518.1</v>
      </c>
      <c r="E298" t="s">
        <v>7</v>
      </c>
      <c r="F298" s="2" t="str">
        <f t="shared" si="12"/>
        <v>Jan</v>
      </c>
      <c r="G298" s="2">
        <f t="shared" si="13"/>
        <v>2021</v>
      </c>
      <c r="H298" s="2">
        <f t="shared" si="14"/>
        <v>-518.1</v>
      </c>
    </row>
    <row r="299" spans="1:8" x14ac:dyDescent="0.25">
      <c r="A299" s="1">
        <v>44208</v>
      </c>
      <c r="B299" t="s">
        <v>314</v>
      </c>
      <c r="C299" t="s">
        <v>20</v>
      </c>
      <c r="D299">
        <v>2856</v>
      </c>
      <c r="E299" t="s">
        <v>14</v>
      </c>
      <c r="F299" s="2" t="str">
        <f t="shared" si="12"/>
        <v>Jan</v>
      </c>
      <c r="G299" s="2">
        <f t="shared" si="13"/>
        <v>2021</v>
      </c>
      <c r="H299" s="2">
        <f t="shared" si="14"/>
        <v>2856</v>
      </c>
    </row>
    <row r="300" spans="1:8" x14ac:dyDescent="0.25">
      <c r="A300" s="1">
        <v>44209</v>
      </c>
      <c r="B300" t="s">
        <v>315</v>
      </c>
      <c r="C300" t="s">
        <v>9</v>
      </c>
      <c r="D300">
        <v>156.99</v>
      </c>
      <c r="E300" t="s">
        <v>7</v>
      </c>
      <c r="F300" s="2" t="str">
        <f t="shared" si="12"/>
        <v>Jan</v>
      </c>
      <c r="G300" s="2">
        <f t="shared" si="13"/>
        <v>2021</v>
      </c>
      <c r="H300" s="2">
        <f t="shared" si="14"/>
        <v>-156.99</v>
      </c>
    </row>
    <row r="301" spans="1:8" x14ac:dyDescent="0.25">
      <c r="A301" s="1">
        <v>44209</v>
      </c>
      <c r="B301" t="s">
        <v>316</v>
      </c>
      <c r="C301" t="s">
        <v>35</v>
      </c>
      <c r="D301">
        <v>1281.49</v>
      </c>
      <c r="E301" t="s">
        <v>7</v>
      </c>
      <c r="F301" s="2" t="str">
        <f t="shared" si="12"/>
        <v>Jan</v>
      </c>
      <c r="G301" s="2">
        <f t="shared" si="13"/>
        <v>2021</v>
      </c>
      <c r="H301" s="2">
        <f t="shared" si="14"/>
        <v>-1281.49</v>
      </c>
    </row>
    <row r="302" spans="1:8" x14ac:dyDescent="0.25">
      <c r="A302" s="1">
        <v>44210</v>
      </c>
      <c r="B302" t="s">
        <v>317</v>
      </c>
      <c r="C302" t="s">
        <v>35</v>
      </c>
      <c r="D302">
        <v>919.1</v>
      </c>
      <c r="E302" t="s">
        <v>7</v>
      </c>
      <c r="F302" s="2" t="str">
        <f t="shared" si="12"/>
        <v>Jan</v>
      </c>
      <c r="G302" s="2">
        <f t="shared" si="13"/>
        <v>2021</v>
      </c>
      <c r="H302" s="2">
        <f t="shared" si="14"/>
        <v>-919.1</v>
      </c>
    </row>
    <row r="303" spans="1:8" x14ac:dyDescent="0.25">
      <c r="A303" s="1">
        <v>44210</v>
      </c>
      <c r="B303" t="s">
        <v>318</v>
      </c>
      <c r="C303" t="s">
        <v>17</v>
      </c>
      <c r="D303">
        <v>1708.14</v>
      </c>
      <c r="E303" t="s">
        <v>7</v>
      </c>
      <c r="F303" s="2" t="str">
        <f t="shared" si="12"/>
        <v>Jan</v>
      </c>
      <c r="G303" s="2">
        <f t="shared" si="13"/>
        <v>2021</v>
      </c>
      <c r="H303" s="2">
        <f t="shared" si="14"/>
        <v>-1708.14</v>
      </c>
    </row>
    <row r="304" spans="1:8" x14ac:dyDescent="0.25">
      <c r="A304" s="1">
        <v>44211</v>
      </c>
      <c r="B304" t="s">
        <v>319</v>
      </c>
      <c r="C304" t="s">
        <v>20</v>
      </c>
      <c r="D304">
        <v>3440</v>
      </c>
      <c r="E304" t="s">
        <v>14</v>
      </c>
      <c r="F304" s="2" t="str">
        <f t="shared" si="12"/>
        <v>Jan</v>
      </c>
      <c r="G304" s="2">
        <f t="shared" si="13"/>
        <v>2021</v>
      </c>
      <c r="H304" s="2">
        <f t="shared" si="14"/>
        <v>3440</v>
      </c>
    </row>
    <row r="305" spans="1:8" x14ac:dyDescent="0.25">
      <c r="A305" s="1">
        <v>44211</v>
      </c>
      <c r="B305" t="s">
        <v>320</v>
      </c>
      <c r="C305" t="s">
        <v>35</v>
      </c>
      <c r="D305">
        <v>53.66</v>
      </c>
      <c r="E305" t="s">
        <v>7</v>
      </c>
      <c r="F305" s="2" t="str">
        <f t="shared" si="12"/>
        <v>Jan</v>
      </c>
      <c r="G305" s="2">
        <f t="shared" si="13"/>
        <v>2021</v>
      </c>
      <c r="H305" s="2">
        <f t="shared" si="14"/>
        <v>-53.66</v>
      </c>
    </row>
    <row r="306" spans="1:8" x14ac:dyDescent="0.25">
      <c r="A306" s="1">
        <v>44213</v>
      </c>
      <c r="B306" t="s">
        <v>321</v>
      </c>
      <c r="C306" t="s">
        <v>17</v>
      </c>
      <c r="D306">
        <v>556.22</v>
      </c>
      <c r="E306" t="s">
        <v>7</v>
      </c>
      <c r="F306" s="2" t="str">
        <f t="shared" si="12"/>
        <v>Jan</v>
      </c>
      <c r="G306" s="2">
        <f t="shared" si="13"/>
        <v>2021</v>
      </c>
      <c r="H306" s="2">
        <f t="shared" si="14"/>
        <v>-556.22</v>
      </c>
    </row>
    <row r="307" spans="1:8" x14ac:dyDescent="0.25">
      <c r="A307" s="1">
        <v>44213</v>
      </c>
      <c r="B307" t="s">
        <v>322</v>
      </c>
      <c r="C307" t="s">
        <v>6</v>
      </c>
      <c r="D307">
        <v>1822.13</v>
      </c>
      <c r="E307" t="s">
        <v>7</v>
      </c>
      <c r="F307" s="2" t="str">
        <f t="shared" si="12"/>
        <v>Jan</v>
      </c>
      <c r="G307" s="2">
        <f t="shared" si="13"/>
        <v>2021</v>
      </c>
      <c r="H307" s="2">
        <f t="shared" si="14"/>
        <v>-1822.13</v>
      </c>
    </row>
    <row r="308" spans="1:8" x14ac:dyDescent="0.25">
      <c r="A308" s="1">
        <v>44215</v>
      </c>
      <c r="B308" t="s">
        <v>323</v>
      </c>
      <c r="C308" t="s">
        <v>35</v>
      </c>
      <c r="D308">
        <v>1553.72</v>
      </c>
      <c r="E308" t="s">
        <v>7</v>
      </c>
      <c r="F308" s="2" t="str">
        <f t="shared" si="12"/>
        <v>Jan</v>
      </c>
      <c r="G308" s="2">
        <f t="shared" si="13"/>
        <v>2021</v>
      </c>
      <c r="H308" s="2">
        <f t="shared" si="14"/>
        <v>-1553.72</v>
      </c>
    </row>
    <row r="309" spans="1:8" x14ac:dyDescent="0.25">
      <c r="A309" s="1">
        <v>44216</v>
      </c>
      <c r="B309" t="s">
        <v>324</v>
      </c>
      <c r="C309" t="s">
        <v>25</v>
      </c>
      <c r="D309">
        <v>445.82</v>
      </c>
      <c r="E309" t="s">
        <v>7</v>
      </c>
      <c r="F309" s="2" t="str">
        <f t="shared" si="12"/>
        <v>Jan</v>
      </c>
      <c r="G309" s="2">
        <f t="shared" si="13"/>
        <v>2021</v>
      </c>
      <c r="H309" s="2">
        <f t="shared" si="14"/>
        <v>-445.82</v>
      </c>
    </row>
    <row r="310" spans="1:8" x14ac:dyDescent="0.25">
      <c r="A310" s="1">
        <v>44220</v>
      </c>
      <c r="B310" t="s">
        <v>325</v>
      </c>
      <c r="C310" t="s">
        <v>20</v>
      </c>
      <c r="D310">
        <v>1620</v>
      </c>
      <c r="E310" t="s">
        <v>14</v>
      </c>
      <c r="F310" s="2" t="str">
        <f t="shared" si="12"/>
        <v>Jan</v>
      </c>
      <c r="G310" s="2">
        <f t="shared" si="13"/>
        <v>2021</v>
      </c>
      <c r="H310" s="2">
        <f t="shared" si="14"/>
        <v>1620</v>
      </c>
    </row>
    <row r="311" spans="1:8" x14ac:dyDescent="0.25">
      <c r="A311" s="1">
        <v>44222</v>
      </c>
      <c r="B311" t="s">
        <v>326</v>
      </c>
      <c r="C311" t="s">
        <v>6</v>
      </c>
      <c r="D311">
        <v>624.78</v>
      </c>
      <c r="E311" t="s">
        <v>7</v>
      </c>
      <c r="F311" s="2" t="str">
        <f t="shared" si="12"/>
        <v>Jan</v>
      </c>
      <c r="G311" s="2">
        <f t="shared" si="13"/>
        <v>2021</v>
      </c>
      <c r="H311" s="2">
        <f t="shared" si="14"/>
        <v>-624.78</v>
      </c>
    </row>
    <row r="312" spans="1:8" x14ac:dyDescent="0.25">
      <c r="A312" s="1">
        <v>44223</v>
      </c>
      <c r="B312" t="s">
        <v>327</v>
      </c>
      <c r="C312" t="s">
        <v>25</v>
      </c>
      <c r="D312">
        <v>1467.4</v>
      </c>
      <c r="E312" t="s">
        <v>7</v>
      </c>
      <c r="F312" s="2" t="str">
        <f t="shared" si="12"/>
        <v>Jan</v>
      </c>
      <c r="G312" s="2">
        <f t="shared" si="13"/>
        <v>2021</v>
      </c>
      <c r="H312" s="2">
        <f t="shared" si="14"/>
        <v>-1467.4</v>
      </c>
    </row>
    <row r="313" spans="1:8" x14ac:dyDescent="0.25">
      <c r="A313" s="1">
        <v>44223</v>
      </c>
      <c r="B313" t="s">
        <v>328</v>
      </c>
      <c r="C313" t="s">
        <v>20</v>
      </c>
      <c r="D313">
        <v>3176</v>
      </c>
      <c r="E313" t="s">
        <v>14</v>
      </c>
      <c r="F313" s="2" t="str">
        <f t="shared" si="12"/>
        <v>Jan</v>
      </c>
      <c r="G313" s="2">
        <f t="shared" si="13"/>
        <v>2021</v>
      </c>
      <c r="H313" s="2">
        <f t="shared" si="14"/>
        <v>3176</v>
      </c>
    </row>
    <row r="314" spans="1:8" x14ac:dyDescent="0.25">
      <c r="A314" s="1">
        <v>44223</v>
      </c>
      <c r="B314" t="s">
        <v>329</v>
      </c>
      <c r="C314" t="s">
        <v>9</v>
      </c>
      <c r="D314">
        <v>409.58</v>
      </c>
      <c r="E314" t="s">
        <v>7</v>
      </c>
      <c r="F314" s="2" t="str">
        <f t="shared" si="12"/>
        <v>Jan</v>
      </c>
      <c r="G314" s="2">
        <f t="shared" si="13"/>
        <v>2021</v>
      </c>
      <c r="H314" s="2">
        <f t="shared" si="14"/>
        <v>-409.58</v>
      </c>
    </row>
    <row r="315" spans="1:8" x14ac:dyDescent="0.25">
      <c r="A315" s="1">
        <v>44223</v>
      </c>
      <c r="B315" t="s">
        <v>330</v>
      </c>
      <c r="C315" t="s">
        <v>25</v>
      </c>
      <c r="D315">
        <v>1066.4000000000001</v>
      </c>
      <c r="E315" t="s">
        <v>7</v>
      </c>
      <c r="F315" s="2" t="str">
        <f t="shared" si="12"/>
        <v>Jan</v>
      </c>
      <c r="G315" s="2">
        <f t="shared" si="13"/>
        <v>2021</v>
      </c>
      <c r="H315" s="2">
        <f t="shared" si="14"/>
        <v>-1066.4000000000001</v>
      </c>
    </row>
    <row r="316" spans="1:8" x14ac:dyDescent="0.25">
      <c r="A316" s="1">
        <v>44225</v>
      </c>
      <c r="B316" t="s">
        <v>331</v>
      </c>
      <c r="C316" t="s">
        <v>9</v>
      </c>
      <c r="D316">
        <v>521.37</v>
      </c>
      <c r="E316" t="s">
        <v>7</v>
      </c>
      <c r="F316" s="2" t="str">
        <f t="shared" si="12"/>
        <v>Jan</v>
      </c>
      <c r="G316" s="2">
        <f t="shared" si="13"/>
        <v>2021</v>
      </c>
      <c r="H316" s="2">
        <f t="shared" si="14"/>
        <v>-521.37</v>
      </c>
    </row>
    <row r="317" spans="1:8" x14ac:dyDescent="0.25">
      <c r="A317" s="1">
        <v>44229</v>
      </c>
      <c r="B317" t="s">
        <v>332</v>
      </c>
      <c r="C317" t="s">
        <v>27</v>
      </c>
      <c r="D317">
        <v>1935.09</v>
      </c>
      <c r="E317" t="s">
        <v>7</v>
      </c>
      <c r="F317" s="2" t="str">
        <f t="shared" si="12"/>
        <v>Feb</v>
      </c>
      <c r="G317" s="2">
        <f t="shared" si="13"/>
        <v>2021</v>
      </c>
      <c r="H317" s="2">
        <f t="shared" si="14"/>
        <v>-1935.09</v>
      </c>
    </row>
    <row r="318" spans="1:8" x14ac:dyDescent="0.25">
      <c r="A318" s="1">
        <v>44232</v>
      </c>
      <c r="B318" t="s">
        <v>333</v>
      </c>
      <c r="C318" t="s">
        <v>25</v>
      </c>
      <c r="D318">
        <v>1610.42</v>
      </c>
      <c r="E318" t="s">
        <v>7</v>
      </c>
      <c r="F318" s="2" t="str">
        <f t="shared" si="12"/>
        <v>Feb</v>
      </c>
      <c r="G318" s="2">
        <f t="shared" si="13"/>
        <v>2021</v>
      </c>
      <c r="H318" s="2">
        <f t="shared" si="14"/>
        <v>-1610.42</v>
      </c>
    </row>
    <row r="319" spans="1:8" x14ac:dyDescent="0.25">
      <c r="A319" s="1">
        <v>44232</v>
      </c>
      <c r="B319" t="s">
        <v>334</v>
      </c>
      <c r="C319" t="s">
        <v>11</v>
      </c>
      <c r="D319">
        <v>290.11</v>
      </c>
      <c r="E319" t="s">
        <v>7</v>
      </c>
      <c r="F319" s="2" t="str">
        <f t="shared" si="12"/>
        <v>Feb</v>
      </c>
      <c r="G319" s="2">
        <f t="shared" si="13"/>
        <v>2021</v>
      </c>
      <c r="H319" s="2">
        <f t="shared" si="14"/>
        <v>-290.11</v>
      </c>
    </row>
    <row r="320" spans="1:8" x14ac:dyDescent="0.25">
      <c r="A320" s="1">
        <v>44235</v>
      </c>
      <c r="B320" t="s">
        <v>335</v>
      </c>
      <c r="C320" t="s">
        <v>17</v>
      </c>
      <c r="D320">
        <v>1934.87</v>
      </c>
      <c r="E320" t="s">
        <v>7</v>
      </c>
      <c r="F320" s="2" t="str">
        <f t="shared" si="12"/>
        <v>Feb</v>
      </c>
      <c r="G320" s="2">
        <f t="shared" si="13"/>
        <v>2021</v>
      </c>
      <c r="H320" s="2">
        <f t="shared" si="14"/>
        <v>-1934.87</v>
      </c>
    </row>
    <row r="321" spans="1:8" x14ac:dyDescent="0.25">
      <c r="A321" s="1">
        <v>44235</v>
      </c>
      <c r="B321" t="s">
        <v>336</v>
      </c>
      <c r="C321" t="s">
        <v>25</v>
      </c>
      <c r="D321">
        <v>189.7</v>
      </c>
      <c r="E321" t="s">
        <v>7</v>
      </c>
      <c r="F321" s="2" t="str">
        <f t="shared" si="12"/>
        <v>Feb</v>
      </c>
      <c r="G321" s="2">
        <f t="shared" si="13"/>
        <v>2021</v>
      </c>
      <c r="H321" s="2">
        <f t="shared" si="14"/>
        <v>-189.7</v>
      </c>
    </row>
    <row r="322" spans="1:8" x14ac:dyDescent="0.25">
      <c r="A322" s="1">
        <v>44236</v>
      </c>
      <c r="B322" t="s">
        <v>337</v>
      </c>
      <c r="C322" t="s">
        <v>35</v>
      </c>
      <c r="D322">
        <v>1077.78</v>
      </c>
      <c r="E322" t="s">
        <v>7</v>
      </c>
      <c r="F322" s="2" t="str">
        <f t="shared" ref="F322:F385" si="15">TEXT(A322,"mmm")</f>
        <v>Feb</v>
      </c>
      <c r="G322" s="2">
        <f t="shared" ref="G322:G385" si="16">YEAR(A322)</f>
        <v>2021</v>
      </c>
      <c r="H322" s="2">
        <f t="shared" ref="H322:H385" si="17">IF(E322="Income",D322,-D322)</f>
        <v>-1077.78</v>
      </c>
    </row>
    <row r="323" spans="1:8" x14ac:dyDescent="0.25">
      <c r="A323" s="1">
        <v>44236</v>
      </c>
      <c r="B323" t="s">
        <v>338</v>
      </c>
      <c r="C323" t="s">
        <v>35</v>
      </c>
      <c r="D323">
        <v>1173.27</v>
      </c>
      <c r="E323" t="s">
        <v>7</v>
      </c>
      <c r="F323" s="2" t="str">
        <f t="shared" si="15"/>
        <v>Feb</v>
      </c>
      <c r="G323" s="2">
        <f t="shared" si="16"/>
        <v>2021</v>
      </c>
      <c r="H323" s="2">
        <f t="shared" si="17"/>
        <v>-1173.27</v>
      </c>
    </row>
    <row r="324" spans="1:8" x14ac:dyDescent="0.25">
      <c r="A324" s="1">
        <v>44238</v>
      </c>
      <c r="B324" t="s">
        <v>339</v>
      </c>
      <c r="C324" t="s">
        <v>25</v>
      </c>
      <c r="D324">
        <v>225.61</v>
      </c>
      <c r="E324" t="s">
        <v>7</v>
      </c>
      <c r="F324" s="2" t="str">
        <f t="shared" si="15"/>
        <v>Feb</v>
      </c>
      <c r="G324" s="2">
        <f t="shared" si="16"/>
        <v>2021</v>
      </c>
      <c r="H324" s="2">
        <f t="shared" si="17"/>
        <v>-225.61</v>
      </c>
    </row>
    <row r="325" spans="1:8" x14ac:dyDescent="0.25">
      <c r="A325" s="1">
        <v>44238</v>
      </c>
      <c r="B325" t="s">
        <v>340</v>
      </c>
      <c r="C325" t="s">
        <v>6</v>
      </c>
      <c r="D325">
        <v>1242.9000000000001</v>
      </c>
      <c r="E325" t="s">
        <v>7</v>
      </c>
      <c r="F325" s="2" t="str">
        <f t="shared" si="15"/>
        <v>Feb</v>
      </c>
      <c r="G325" s="2">
        <f t="shared" si="16"/>
        <v>2021</v>
      </c>
      <c r="H325" s="2">
        <f t="shared" si="17"/>
        <v>-1242.9000000000001</v>
      </c>
    </row>
    <row r="326" spans="1:8" x14ac:dyDescent="0.25">
      <c r="A326" s="1">
        <v>44240</v>
      </c>
      <c r="B326" t="s">
        <v>341</v>
      </c>
      <c r="C326" t="s">
        <v>25</v>
      </c>
      <c r="D326">
        <v>1831.36</v>
      </c>
      <c r="E326" t="s">
        <v>7</v>
      </c>
      <c r="F326" s="2" t="str">
        <f t="shared" si="15"/>
        <v>Feb</v>
      </c>
      <c r="G326" s="2">
        <f t="shared" si="16"/>
        <v>2021</v>
      </c>
      <c r="H326" s="2">
        <f t="shared" si="17"/>
        <v>-1831.36</v>
      </c>
    </row>
    <row r="327" spans="1:8" x14ac:dyDescent="0.25">
      <c r="A327" s="1">
        <v>44243</v>
      </c>
      <c r="B327" t="s">
        <v>342</v>
      </c>
      <c r="C327" t="s">
        <v>11</v>
      </c>
      <c r="D327">
        <v>1274.45</v>
      </c>
      <c r="E327" t="s">
        <v>7</v>
      </c>
      <c r="F327" s="2" t="str">
        <f t="shared" si="15"/>
        <v>Feb</v>
      </c>
      <c r="G327" s="2">
        <f t="shared" si="16"/>
        <v>2021</v>
      </c>
      <c r="H327" s="2">
        <f t="shared" si="17"/>
        <v>-1274.45</v>
      </c>
    </row>
    <row r="328" spans="1:8" x14ac:dyDescent="0.25">
      <c r="A328" s="1">
        <v>44245</v>
      </c>
      <c r="B328" t="s">
        <v>343</v>
      </c>
      <c r="C328" t="s">
        <v>35</v>
      </c>
      <c r="D328">
        <v>1301.99</v>
      </c>
      <c r="E328" t="s">
        <v>7</v>
      </c>
      <c r="F328" s="2" t="str">
        <f t="shared" si="15"/>
        <v>Feb</v>
      </c>
      <c r="G328" s="2">
        <f t="shared" si="16"/>
        <v>2021</v>
      </c>
      <c r="H328" s="2">
        <f t="shared" si="17"/>
        <v>-1301.99</v>
      </c>
    </row>
    <row r="329" spans="1:8" x14ac:dyDescent="0.25">
      <c r="A329" s="1">
        <v>44246</v>
      </c>
      <c r="B329" t="s">
        <v>344</v>
      </c>
      <c r="C329" t="s">
        <v>13</v>
      </c>
      <c r="D329">
        <v>804</v>
      </c>
      <c r="E329" t="s">
        <v>14</v>
      </c>
      <c r="F329" s="2" t="str">
        <f t="shared" si="15"/>
        <v>Feb</v>
      </c>
      <c r="G329" s="2">
        <f t="shared" si="16"/>
        <v>2021</v>
      </c>
      <c r="H329" s="2">
        <f t="shared" si="17"/>
        <v>804</v>
      </c>
    </row>
    <row r="330" spans="1:8" x14ac:dyDescent="0.25">
      <c r="A330" s="1">
        <v>44247</v>
      </c>
      <c r="B330" t="s">
        <v>345</v>
      </c>
      <c r="C330" t="s">
        <v>27</v>
      </c>
      <c r="D330">
        <v>241.08</v>
      </c>
      <c r="E330" t="s">
        <v>7</v>
      </c>
      <c r="F330" s="2" t="str">
        <f t="shared" si="15"/>
        <v>Feb</v>
      </c>
      <c r="G330" s="2">
        <f t="shared" si="16"/>
        <v>2021</v>
      </c>
      <c r="H330" s="2">
        <f t="shared" si="17"/>
        <v>-241.08</v>
      </c>
    </row>
    <row r="331" spans="1:8" x14ac:dyDescent="0.25">
      <c r="A331" s="1">
        <v>44248</v>
      </c>
      <c r="B331" t="s">
        <v>346</v>
      </c>
      <c r="C331" t="s">
        <v>9</v>
      </c>
      <c r="D331">
        <v>783.41</v>
      </c>
      <c r="E331" t="s">
        <v>7</v>
      </c>
      <c r="F331" s="2" t="str">
        <f t="shared" si="15"/>
        <v>Feb</v>
      </c>
      <c r="G331" s="2">
        <f t="shared" si="16"/>
        <v>2021</v>
      </c>
      <c r="H331" s="2">
        <f t="shared" si="17"/>
        <v>-783.41</v>
      </c>
    </row>
    <row r="332" spans="1:8" x14ac:dyDescent="0.25">
      <c r="A332" s="1">
        <v>44250</v>
      </c>
      <c r="B332" t="s">
        <v>347</v>
      </c>
      <c r="C332" t="s">
        <v>17</v>
      </c>
      <c r="D332">
        <v>1178.81</v>
      </c>
      <c r="E332" t="s">
        <v>7</v>
      </c>
      <c r="F332" s="2" t="str">
        <f t="shared" si="15"/>
        <v>Feb</v>
      </c>
      <c r="G332" s="2">
        <f t="shared" si="16"/>
        <v>2021</v>
      </c>
      <c r="H332" s="2">
        <f t="shared" si="17"/>
        <v>-1178.81</v>
      </c>
    </row>
    <row r="333" spans="1:8" x14ac:dyDescent="0.25">
      <c r="A333" s="1">
        <v>44251</v>
      </c>
      <c r="B333" t="s">
        <v>348</v>
      </c>
      <c r="C333" t="s">
        <v>17</v>
      </c>
      <c r="D333">
        <v>1313.29</v>
      </c>
      <c r="E333" t="s">
        <v>7</v>
      </c>
      <c r="F333" s="2" t="str">
        <f t="shared" si="15"/>
        <v>Feb</v>
      </c>
      <c r="G333" s="2">
        <f t="shared" si="16"/>
        <v>2021</v>
      </c>
      <c r="H333" s="2">
        <f t="shared" si="17"/>
        <v>-1313.29</v>
      </c>
    </row>
    <row r="334" spans="1:8" x14ac:dyDescent="0.25">
      <c r="A334" s="1">
        <v>44254</v>
      </c>
      <c r="B334" t="s">
        <v>349</v>
      </c>
      <c r="C334" t="s">
        <v>17</v>
      </c>
      <c r="D334">
        <v>1878.72</v>
      </c>
      <c r="E334" t="s">
        <v>7</v>
      </c>
      <c r="F334" s="2" t="str">
        <f t="shared" si="15"/>
        <v>Feb</v>
      </c>
      <c r="G334" s="2">
        <f t="shared" si="16"/>
        <v>2021</v>
      </c>
      <c r="H334" s="2">
        <f t="shared" si="17"/>
        <v>-1878.72</v>
      </c>
    </row>
    <row r="335" spans="1:8" x14ac:dyDescent="0.25">
      <c r="A335" s="1">
        <v>44255</v>
      </c>
      <c r="B335" t="s">
        <v>350</v>
      </c>
      <c r="C335" t="s">
        <v>25</v>
      </c>
      <c r="D335">
        <v>442.37</v>
      </c>
      <c r="E335" t="s">
        <v>7</v>
      </c>
      <c r="F335" s="2" t="str">
        <f t="shared" si="15"/>
        <v>Feb</v>
      </c>
      <c r="G335" s="2">
        <f t="shared" si="16"/>
        <v>2021</v>
      </c>
      <c r="H335" s="2">
        <f t="shared" si="17"/>
        <v>-442.37</v>
      </c>
    </row>
    <row r="336" spans="1:8" x14ac:dyDescent="0.25">
      <c r="A336" s="1">
        <v>44257</v>
      </c>
      <c r="B336" t="s">
        <v>351</v>
      </c>
      <c r="C336" t="s">
        <v>22</v>
      </c>
      <c r="D336">
        <v>1712.35</v>
      </c>
      <c r="E336" t="s">
        <v>7</v>
      </c>
      <c r="F336" s="2" t="str">
        <f t="shared" si="15"/>
        <v>Mar</v>
      </c>
      <c r="G336" s="2">
        <f t="shared" si="16"/>
        <v>2021</v>
      </c>
      <c r="H336" s="2">
        <f t="shared" si="17"/>
        <v>-1712.35</v>
      </c>
    </row>
    <row r="337" spans="1:8" x14ac:dyDescent="0.25">
      <c r="A337" s="1">
        <v>44257</v>
      </c>
      <c r="B337" t="s">
        <v>352</v>
      </c>
      <c r="C337" t="s">
        <v>20</v>
      </c>
      <c r="D337">
        <v>4960</v>
      </c>
      <c r="E337" t="s">
        <v>14</v>
      </c>
      <c r="F337" s="2" t="str">
        <f t="shared" si="15"/>
        <v>Mar</v>
      </c>
      <c r="G337" s="2">
        <f t="shared" si="16"/>
        <v>2021</v>
      </c>
      <c r="H337" s="2">
        <f t="shared" si="17"/>
        <v>4960</v>
      </c>
    </row>
    <row r="338" spans="1:8" x14ac:dyDescent="0.25">
      <c r="A338" s="1">
        <v>44257</v>
      </c>
      <c r="B338" t="s">
        <v>353</v>
      </c>
      <c r="C338" t="s">
        <v>25</v>
      </c>
      <c r="D338">
        <v>130.49</v>
      </c>
      <c r="E338" t="s">
        <v>7</v>
      </c>
      <c r="F338" s="2" t="str">
        <f t="shared" si="15"/>
        <v>Mar</v>
      </c>
      <c r="G338" s="2">
        <f t="shared" si="16"/>
        <v>2021</v>
      </c>
      <c r="H338" s="2">
        <f t="shared" si="17"/>
        <v>-130.49</v>
      </c>
    </row>
    <row r="339" spans="1:8" x14ac:dyDescent="0.25">
      <c r="A339" s="1">
        <v>44259</v>
      </c>
      <c r="B339" t="s">
        <v>354</v>
      </c>
      <c r="C339" t="s">
        <v>11</v>
      </c>
      <c r="D339">
        <v>1898.53</v>
      </c>
      <c r="E339" t="s">
        <v>7</v>
      </c>
      <c r="F339" s="2" t="str">
        <f t="shared" si="15"/>
        <v>Mar</v>
      </c>
      <c r="G339" s="2">
        <f t="shared" si="16"/>
        <v>2021</v>
      </c>
      <c r="H339" s="2">
        <f t="shared" si="17"/>
        <v>-1898.53</v>
      </c>
    </row>
    <row r="340" spans="1:8" x14ac:dyDescent="0.25">
      <c r="A340" s="1">
        <v>44260</v>
      </c>
      <c r="B340" t="s">
        <v>355</v>
      </c>
      <c r="C340" t="s">
        <v>11</v>
      </c>
      <c r="D340">
        <v>1328.91</v>
      </c>
      <c r="E340" t="s">
        <v>7</v>
      </c>
      <c r="F340" s="2" t="str">
        <f t="shared" si="15"/>
        <v>Mar</v>
      </c>
      <c r="G340" s="2">
        <f t="shared" si="16"/>
        <v>2021</v>
      </c>
      <c r="H340" s="2">
        <f t="shared" si="17"/>
        <v>-1328.91</v>
      </c>
    </row>
    <row r="341" spans="1:8" x14ac:dyDescent="0.25">
      <c r="A341" s="1">
        <v>44260</v>
      </c>
      <c r="B341" t="s">
        <v>356</v>
      </c>
      <c r="C341" t="s">
        <v>6</v>
      </c>
      <c r="D341">
        <v>110.65</v>
      </c>
      <c r="E341" t="s">
        <v>7</v>
      </c>
      <c r="F341" s="2" t="str">
        <f t="shared" si="15"/>
        <v>Mar</v>
      </c>
      <c r="G341" s="2">
        <f t="shared" si="16"/>
        <v>2021</v>
      </c>
      <c r="H341" s="2">
        <f t="shared" si="17"/>
        <v>-110.65</v>
      </c>
    </row>
    <row r="342" spans="1:8" x14ac:dyDescent="0.25">
      <c r="A342" s="1">
        <v>44262</v>
      </c>
      <c r="B342" t="s">
        <v>357</v>
      </c>
      <c r="C342" t="s">
        <v>9</v>
      </c>
      <c r="D342">
        <v>1576.09</v>
      </c>
      <c r="E342" t="s">
        <v>7</v>
      </c>
      <c r="F342" s="2" t="str">
        <f t="shared" si="15"/>
        <v>Mar</v>
      </c>
      <c r="G342" s="2">
        <f t="shared" si="16"/>
        <v>2021</v>
      </c>
      <c r="H342" s="2">
        <f t="shared" si="17"/>
        <v>-1576.09</v>
      </c>
    </row>
    <row r="343" spans="1:8" x14ac:dyDescent="0.25">
      <c r="A343" s="1">
        <v>44262</v>
      </c>
      <c r="B343" t="s">
        <v>358</v>
      </c>
      <c r="C343" t="s">
        <v>22</v>
      </c>
      <c r="D343">
        <v>1176.9000000000001</v>
      </c>
      <c r="E343" t="s">
        <v>7</v>
      </c>
      <c r="F343" s="2" t="str">
        <f t="shared" si="15"/>
        <v>Mar</v>
      </c>
      <c r="G343" s="2">
        <f t="shared" si="16"/>
        <v>2021</v>
      </c>
      <c r="H343" s="2">
        <f t="shared" si="17"/>
        <v>-1176.9000000000001</v>
      </c>
    </row>
    <row r="344" spans="1:8" x14ac:dyDescent="0.25">
      <c r="A344" s="1">
        <v>44263</v>
      </c>
      <c r="B344" t="s">
        <v>359</v>
      </c>
      <c r="C344" t="s">
        <v>22</v>
      </c>
      <c r="D344">
        <v>663.83</v>
      </c>
      <c r="E344" t="s">
        <v>7</v>
      </c>
      <c r="F344" s="2" t="str">
        <f t="shared" si="15"/>
        <v>Mar</v>
      </c>
      <c r="G344" s="2">
        <f t="shared" si="16"/>
        <v>2021</v>
      </c>
      <c r="H344" s="2">
        <f t="shared" si="17"/>
        <v>-663.83</v>
      </c>
    </row>
    <row r="345" spans="1:8" x14ac:dyDescent="0.25">
      <c r="A345" s="1">
        <v>44264</v>
      </c>
      <c r="B345" t="s">
        <v>360</v>
      </c>
      <c r="C345" t="s">
        <v>13</v>
      </c>
      <c r="D345">
        <v>2771</v>
      </c>
      <c r="E345" t="s">
        <v>14</v>
      </c>
      <c r="F345" s="2" t="str">
        <f t="shared" si="15"/>
        <v>Mar</v>
      </c>
      <c r="G345" s="2">
        <f t="shared" si="16"/>
        <v>2021</v>
      </c>
      <c r="H345" s="2">
        <f t="shared" si="17"/>
        <v>2771</v>
      </c>
    </row>
    <row r="346" spans="1:8" x14ac:dyDescent="0.25">
      <c r="A346" s="1">
        <v>44264</v>
      </c>
      <c r="B346" t="s">
        <v>361</v>
      </c>
      <c r="C346" t="s">
        <v>9</v>
      </c>
      <c r="D346">
        <v>1975.18</v>
      </c>
      <c r="E346" t="s">
        <v>7</v>
      </c>
      <c r="F346" s="2" t="str">
        <f t="shared" si="15"/>
        <v>Mar</v>
      </c>
      <c r="G346" s="2">
        <f t="shared" si="16"/>
        <v>2021</v>
      </c>
      <c r="H346" s="2">
        <f t="shared" si="17"/>
        <v>-1975.18</v>
      </c>
    </row>
    <row r="347" spans="1:8" x14ac:dyDescent="0.25">
      <c r="A347" s="1">
        <v>44265</v>
      </c>
      <c r="B347" t="s">
        <v>362</v>
      </c>
      <c r="C347" t="s">
        <v>9</v>
      </c>
      <c r="D347">
        <v>228.75</v>
      </c>
      <c r="E347" t="s">
        <v>7</v>
      </c>
      <c r="F347" s="2" t="str">
        <f t="shared" si="15"/>
        <v>Mar</v>
      </c>
      <c r="G347" s="2">
        <f t="shared" si="16"/>
        <v>2021</v>
      </c>
      <c r="H347" s="2">
        <f t="shared" si="17"/>
        <v>-228.75</v>
      </c>
    </row>
    <row r="348" spans="1:8" x14ac:dyDescent="0.25">
      <c r="A348" s="1">
        <v>44267</v>
      </c>
      <c r="B348" t="s">
        <v>363</v>
      </c>
      <c r="C348" t="s">
        <v>9</v>
      </c>
      <c r="D348">
        <v>39.57</v>
      </c>
      <c r="E348" t="s">
        <v>7</v>
      </c>
      <c r="F348" s="2" t="str">
        <f t="shared" si="15"/>
        <v>Mar</v>
      </c>
      <c r="G348" s="2">
        <f t="shared" si="16"/>
        <v>2021</v>
      </c>
      <c r="H348" s="2">
        <f t="shared" si="17"/>
        <v>-39.57</v>
      </c>
    </row>
    <row r="349" spans="1:8" x14ac:dyDescent="0.25">
      <c r="A349" s="1">
        <v>44270</v>
      </c>
      <c r="B349" t="s">
        <v>364</v>
      </c>
      <c r="C349" t="s">
        <v>22</v>
      </c>
      <c r="D349">
        <v>1181.82</v>
      </c>
      <c r="E349" t="s">
        <v>7</v>
      </c>
      <c r="F349" s="2" t="str">
        <f t="shared" si="15"/>
        <v>Mar</v>
      </c>
      <c r="G349" s="2">
        <f t="shared" si="16"/>
        <v>2021</v>
      </c>
      <c r="H349" s="2">
        <f t="shared" si="17"/>
        <v>-1181.82</v>
      </c>
    </row>
    <row r="350" spans="1:8" x14ac:dyDescent="0.25">
      <c r="A350" s="1">
        <v>44270</v>
      </c>
      <c r="B350" t="s">
        <v>365</v>
      </c>
      <c r="C350" t="s">
        <v>20</v>
      </c>
      <c r="D350">
        <v>929</v>
      </c>
      <c r="E350" t="s">
        <v>14</v>
      </c>
      <c r="F350" s="2" t="str">
        <f t="shared" si="15"/>
        <v>Mar</v>
      </c>
      <c r="G350" s="2">
        <f t="shared" si="16"/>
        <v>2021</v>
      </c>
      <c r="H350" s="2">
        <f t="shared" si="17"/>
        <v>929</v>
      </c>
    </row>
    <row r="351" spans="1:8" x14ac:dyDescent="0.25">
      <c r="A351" s="1">
        <v>44271</v>
      </c>
      <c r="B351" t="s">
        <v>366</v>
      </c>
      <c r="C351" t="s">
        <v>20</v>
      </c>
      <c r="D351">
        <v>4809</v>
      </c>
      <c r="E351" t="s">
        <v>14</v>
      </c>
      <c r="F351" s="2" t="str">
        <f t="shared" si="15"/>
        <v>Mar</v>
      </c>
      <c r="G351" s="2">
        <f t="shared" si="16"/>
        <v>2021</v>
      </c>
      <c r="H351" s="2">
        <f t="shared" si="17"/>
        <v>4809</v>
      </c>
    </row>
    <row r="352" spans="1:8" x14ac:dyDescent="0.25">
      <c r="A352" s="1">
        <v>44271</v>
      </c>
      <c r="B352" t="s">
        <v>367</v>
      </c>
      <c r="C352" t="s">
        <v>13</v>
      </c>
      <c r="D352">
        <v>4401</v>
      </c>
      <c r="E352" t="s">
        <v>14</v>
      </c>
      <c r="F352" s="2" t="str">
        <f t="shared" si="15"/>
        <v>Mar</v>
      </c>
      <c r="G352" s="2">
        <f t="shared" si="16"/>
        <v>2021</v>
      </c>
      <c r="H352" s="2">
        <f t="shared" si="17"/>
        <v>4401</v>
      </c>
    </row>
    <row r="353" spans="1:8" x14ac:dyDescent="0.25">
      <c r="A353" s="1">
        <v>44272</v>
      </c>
      <c r="B353" t="s">
        <v>368</v>
      </c>
      <c r="C353" t="s">
        <v>25</v>
      </c>
      <c r="D353">
        <v>1031.3399999999999</v>
      </c>
      <c r="E353" t="s">
        <v>7</v>
      </c>
      <c r="F353" s="2" t="str">
        <f t="shared" si="15"/>
        <v>Mar</v>
      </c>
      <c r="G353" s="2">
        <f t="shared" si="16"/>
        <v>2021</v>
      </c>
      <c r="H353" s="2">
        <f t="shared" si="17"/>
        <v>-1031.3399999999999</v>
      </c>
    </row>
    <row r="354" spans="1:8" x14ac:dyDescent="0.25">
      <c r="A354" s="1">
        <v>44272</v>
      </c>
      <c r="B354" t="s">
        <v>369</v>
      </c>
      <c r="C354" t="s">
        <v>13</v>
      </c>
      <c r="D354">
        <v>855</v>
      </c>
      <c r="E354" t="s">
        <v>14</v>
      </c>
      <c r="F354" s="2" t="str">
        <f t="shared" si="15"/>
        <v>Mar</v>
      </c>
      <c r="G354" s="2">
        <f t="shared" si="16"/>
        <v>2021</v>
      </c>
      <c r="H354" s="2">
        <f t="shared" si="17"/>
        <v>855</v>
      </c>
    </row>
    <row r="355" spans="1:8" x14ac:dyDescent="0.25">
      <c r="A355" s="1">
        <v>44273</v>
      </c>
      <c r="B355" t="s">
        <v>370</v>
      </c>
      <c r="C355" t="s">
        <v>35</v>
      </c>
      <c r="D355">
        <v>921.5</v>
      </c>
      <c r="E355" t="s">
        <v>7</v>
      </c>
      <c r="F355" s="2" t="str">
        <f t="shared" si="15"/>
        <v>Mar</v>
      </c>
      <c r="G355" s="2">
        <f t="shared" si="16"/>
        <v>2021</v>
      </c>
      <c r="H355" s="2">
        <f t="shared" si="17"/>
        <v>-921.5</v>
      </c>
    </row>
    <row r="356" spans="1:8" x14ac:dyDescent="0.25">
      <c r="A356" s="1">
        <v>44274</v>
      </c>
      <c r="B356" t="s">
        <v>371</v>
      </c>
      <c r="C356" t="s">
        <v>6</v>
      </c>
      <c r="D356">
        <v>1997.19</v>
      </c>
      <c r="E356" t="s">
        <v>7</v>
      </c>
      <c r="F356" s="2" t="str">
        <f t="shared" si="15"/>
        <v>Mar</v>
      </c>
      <c r="G356" s="2">
        <f t="shared" si="16"/>
        <v>2021</v>
      </c>
      <c r="H356" s="2">
        <f t="shared" si="17"/>
        <v>-1997.19</v>
      </c>
    </row>
    <row r="357" spans="1:8" x14ac:dyDescent="0.25">
      <c r="A357" s="1">
        <v>44275</v>
      </c>
      <c r="B357" t="s">
        <v>372</v>
      </c>
      <c r="C357" t="s">
        <v>17</v>
      </c>
      <c r="D357">
        <v>1375.33</v>
      </c>
      <c r="E357" t="s">
        <v>7</v>
      </c>
      <c r="F357" s="2" t="str">
        <f t="shared" si="15"/>
        <v>Mar</v>
      </c>
      <c r="G357" s="2">
        <f t="shared" si="16"/>
        <v>2021</v>
      </c>
      <c r="H357" s="2">
        <f t="shared" si="17"/>
        <v>-1375.33</v>
      </c>
    </row>
    <row r="358" spans="1:8" x14ac:dyDescent="0.25">
      <c r="A358" s="1">
        <v>44276</v>
      </c>
      <c r="B358" t="s">
        <v>373</v>
      </c>
      <c r="C358" t="s">
        <v>27</v>
      </c>
      <c r="D358">
        <v>156.25</v>
      </c>
      <c r="E358" t="s">
        <v>7</v>
      </c>
      <c r="F358" s="2" t="str">
        <f t="shared" si="15"/>
        <v>Mar</v>
      </c>
      <c r="G358" s="2">
        <f t="shared" si="16"/>
        <v>2021</v>
      </c>
      <c r="H358" s="2">
        <f t="shared" si="17"/>
        <v>-156.25</v>
      </c>
    </row>
    <row r="359" spans="1:8" x14ac:dyDescent="0.25">
      <c r="A359" s="1">
        <v>44277</v>
      </c>
      <c r="B359" t="s">
        <v>374</v>
      </c>
      <c r="C359" t="s">
        <v>13</v>
      </c>
      <c r="D359">
        <v>1038</v>
      </c>
      <c r="E359" t="s">
        <v>14</v>
      </c>
      <c r="F359" s="2" t="str">
        <f t="shared" si="15"/>
        <v>Mar</v>
      </c>
      <c r="G359" s="2">
        <f t="shared" si="16"/>
        <v>2021</v>
      </c>
      <c r="H359" s="2">
        <f t="shared" si="17"/>
        <v>1038</v>
      </c>
    </row>
    <row r="360" spans="1:8" x14ac:dyDescent="0.25">
      <c r="A360" s="1">
        <v>44277</v>
      </c>
      <c r="B360" t="s">
        <v>375</v>
      </c>
      <c r="C360" t="s">
        <v>20</v>
      </c>
      <c r="D360">
        <v>3620</v>
      </c>
      <c r="E360" t="s">
        <v>14</v>
      </c>
      <c r="F360" s="2" t="str">
        <f t="shared" si="15"/>
        <v>Mar</v>
      </c>
      <c r="G360" s="2">
        <f t="shared" si="16"/>
        <v>2021</v>
      </c>
      <c r="H360" s="2">
        <f t="shared" si="17"/>
        <v>3620</v>
      </c>
    </row>
    <row r="361" spans="1:8" x14ac:dyDescent="0.25">
      <c r="A361" s="1">
        <v>44277</v>
      </c>
      <c r="B361" t="s">
        <v>376</v>
      </c>
      <c r="C361" t="s">
        <v>35</v>
      </c>
      <c r="D361">
        <v>912.89</v>
      </c>
      <c r="E361" t="s">
        <v>7</v>
      </c>
      <c r="F361" s="2" t="str">
        <f t="shared" si="15"/>
        <v>Mar</v>
      </c>
      <c r="G361" s="2">
        <f t="shared" si="16"/>
        <v>2021</v>
      </c>
      <c r="H361" s="2">
        <f t="shared" si="17"/>
        <v>-912.89</v>
      </c>
    </row>
    <row r="362" spans="1:8" x14ac:dyDescent="0.25">
      <c r="A362" s="1">
        <v>44278</v>
      </c>
      <c r="B362" t="s">
        <v>377</v>
      </c>
      <c r="C362" t="s">
        <v>11</v>
      </c>
      <c r="D362">
        <v>1588.26</v>
      </c>
      <c r="E362" t="s">
        <v>7</v>
      </c>
      <c r="F362" s="2" t="str">
        <f t="shared" si="15"/>
        <v>Mar</v>
      </c>
      <c r="G362" s="2">
        <f t="shared" si="16"/>
        <v>2021</v>
      </c>
      <c r="H362" s="2">
        <f t="shared" si="17"/>
        <v>-1588.26</v>
      </c>
    </row>
    <row r="363" spans="1:8" x14ac:dyDescent="0.25">
      <c r="A363" s="1">
        <v>44278</v>
      </c>
      <c r="B363" t="s">
        <v>378</v>
      </c>
      <c r="C363" t="s">
        <v>13</v>
      </c>
      <c r="D363">
        <v>4023</v>
      </c>
      <c r="E363" t="s">
        <v>14</v>
      </c>
      <c r="F363" s="2" t="str">
        <f t="shared" si="15"/>
        <v>Mar</v>
      </c>
      <c r="G363" s="2">
        <f t="shared" si="16"/>
        <v>2021</v>
      </c>
      <c r="H363" s="2">
        <f t="shared" si="17"/>
        <v>4023</v>
      </c>
    </row>
    <row r="364" spans="1:8" x14ac:dyDescent="0.25">
      <c r="A364" s="1">
        <v>44279</v>
      </c>
      <c r="B364" t="s">
        <v>379</v>
      </c>
      <c r="C364" t="s">
        <v>22</v>
      </c>
      <c r="D364">
        <v>833.49</v>
      </c>
      <c r="E364" t="s">
        <v>7</v>
      </c>
      <c r="F364" s="2" t="str">
        <f t="shared" si="15"/>
        <v>Mar</v>
      </c>
      <c r="G364" s="2">
        <f t="shared" si="16"/>
        <v>2021</v>
      </c>
      <c r="H364" s="2">
        <f t="shared" si="17"/>
        <v>-833.49</v>
      </c>
    </row>
    <row r="365" spans="1:8" x14ac:dyDescent="0.25">
      <c r="A365" s="1">
        <v>44280</v>
      </c>
      <c r="B365" t="s">
        <v>380</v>
      </c>
      <c r="C365" t="s">
        <v>17</v>
      </c>
      <c r="D365">
        <v>837.82</v>
      </c>
      <c r="E365" t="s">
        <v>7</v>
      </c>
      <c r="F365" s="2" t="str">
        <f t="shared" si="15"/>
        <v>Mar</v>
      </c>
      <c r="G365" s="2">
        <f t="shared" si="16"/>
        <v>2021</v>
      </c>
      <c r="H365" s="2">
        <f t="shared" si="17"/>
        <v>-837.82</v>
      </c>
    </row>
    <row r="366" spans="1:8" x14ac:dyDescent="0.25">
      <c r="A366" s="1">
        <v>44281</v>
      </c>
      <c r="B366" t="s">
        <v>381</v>
      </c>
      <c r="C366" t="s">
        <v>20</v>
      </c>
      <c r="D366">
        <v>3060</v>
      </c>
      <c r="E366" t="s">
        <v>14</v>
      </c>
      <c r="F366" s="2" t="str">
        <f t="shared" si="15"/>
        <v>Mar</v>
      </c>
      <c r="G366" s="2">
        <f t="shared" si="16"/>
        <v>2021</v>
      </c>
      <c r="H366" s="2">
        <f t="shared" si="17"/>
        <v>3060</v>
      </c>
    </row>
    <row r="367" spans="1:8" x14ac:dyDescent="0.25">
      <c r="A367" s="1">
        <v>44282</v>
      </c>
      <c r="B367" t="s">
        <v>382</v>
      </c>
      <c r="C367" t="s">
        <v>25</v>
      </c>
      <c r="D367">
        <v>1907.65</v>
      </c>
      <c r="E367" t="s">
        <v>7</v>
      </c>
      <c r="F367" s="2" t="str">
        <f t="shared" si="15"/>
        <v>Mar</v>
      </c>
      <c r="G367" s="2">
        <f t="shared" si="16"/>
        <v>2021</v>
      </c>
      <c r="H367" s="2">
        <f t="shared" si="17"/>
        <v>-1907.65</v>
      </c>
    </row>
    <row r="368" spans="1:8" x14ac:dyDescent="0.25">
      <c r="A368" s="1">
        <v>44283</v>
      </c>
      <c r="B368" t="s">
        <v>383</v>
      </c>
      <c r="C368" t="s">
        <v>27</v>
      </c>
      <c r="D368">
        <v>143.6</v>
      </c>
      <c r="E368" t="s">
        <v>7</v>
      </c>
      <c r="F368" s="2" t="str">
        <f t="shared" si="15"/>
        <v>Mar</v>
      </c>
      <c r="G368" s="2">
        <f t="shared" si="16"/>
        <v>2021</v>
      </c>
      <c r="H368" s="2">
        <f t="shared" si="17"/>
        <v>-143.6</v>
      </c>
    </row>
    <row r="369" spans="1:8" x14ac:dyDescent="0.25">
      <c r="A369" s="1">
        <v>44284</v>
      </c>
      <c r="B369" t="s">
        <v>384</v>
      </c>
      <c r="C369" t="s">
        <v>11</v>
      </c>
      <c r="D369">
        <v>869.43</v>
      </c>
      <c r="E369" t="s">
        <v>7</v>
      </c>
      <c r="F369" s="2" t="str">
        <f t="shared" si="15"/>
        <v>Mar</v>
      </c>
      <c r="G369" s="2">
        <f t="shared" si="16"/>
        <v>2021</v>
      </c>
      <c r="H369" s="2">
        <f t="shared" si="17"/>
        <v>-869.43</v>
      </c>
    </row>
    <row r="370" spans="1:8" x14ac:dyDescent="0.25">
      <c r="A370" s="1">
        <v>44285</v>
      </c>
      <c r="B370" t="s">
        <v>385</v>
      </c>
      <c r="C370" t="s">
        <v>25</v>
      </c>
      <c r="D370">
        <v>1625.42</v>
      </c>
      <c r="E370" t="s">
        <v>7</v>
      </c>
      <c r="F370" s="2" t="str">
        <f t="shared" si="15"/>
        <v>Mar</v>
      </c>
      <c r="G370" s="2">
        <f t="shared" si="16"/>
        <v>2021</v>
      </c>
      <c r="H370" s="2">
        <f t="shared" si="17"/>
        <v>-1625.42</v>
      </c>
    </row>
    <row r="371" spans="1:8" x14ac:dyDescent="0.25">
      <c r="A371" s="1">
        <v>44287</v>
      </c>
      <c r="B371" t="s">
        <v>386</v>
      </c>
      <c r="C371" t="s">
        <v>25</v>
      </c>
      <c r="D371">
        <v>1343.33</v>
      </c>
      <c r="E371" t="s">
        <v>7</v>
      </c>
      <c r="F371" s="2" t="str">
        <f t="shared" si="15"/>
        <v>Apr</v>
      </c>
      <c r="G371" s="2">
        <f t="shared" si="16"/>
        <v>2021</v>
      </c>
      <c r="H371" s="2">
        <f t="shared" si="17"/>
        <v>-1343.33</v>
      </c>
    </row>
    <row r="372" spans="1:8" x14ac:dyDescent="0.25">
      <c r="A372" s="1">
        <v>44288</v>
      </c>
      <c r="B372" t="s">
        <v>387</v>
      </c>
      <c r="C372" t="s">
        <v>17</v>
      </c>
      <c r="D372">
        <v>1737.5</v>
      </c>
      <c r="E372" t="s">
        <v>7</v>
      </c>
      <c r="F372" s="2" t="str">
        <f t="shared" si="15"/>
        <v>Apr</v>
      </c>
      <c r="G372" s="2">
        <f t="shared" si="16"/>
        <v>2021</v>
      </c>
      <c r="H372" s="2">
        <f t="shared" si="17"/>
        <v>-1737.5</v>
      </c>
    </row>
    <row r="373" spans="1:8" x14ac:dyDescent="0.25">
      <c r="A373" s="1">
        <v>44289</v>
      </c>
      <c r="B373" t="s">
        <v>388</v>
      </c>
      <c r="C373" t="s">
        <v>35</v>
      </c>
      <c r="D373">
        <v>1204.82</v>
      </c>
      <c r="E373" t="s">
        <v>7</v>
      </c>
      <c r="F373" s="2" t="str">
        <f t="shared" si="15"/>
        <v>Apr</v>
      </c>
      <c r="G373" s="2">
        <f t="shared" si="16"/>
        <v>2021</v>
      </c>
      <c r="H373" s="2">
        <f t="shared" si="17"/>
        <v>-1204.82</v>
      </c>
    </row>
    <row r="374" spans="1:8" x14ac:dyDescent="0.25">
      <c r="A374" s="1">
        <v>44289</v>
      </c>
      <c r="B374" t="s">
        <v>389</v>
      </c>
      <c r="C374" t="s">
        <v>22</v>
      </c>
      <c r="D374">
        <v>317.91000000000003</v>
      </c>
      <c r="E374" t="s">
        <v>7</v>
      </c>
      <c r="F374" s="2" t="str">
        <f t="shared" si="15"/>
        <v>Apr</v>
      </c>
      <c r="G374" s="2">
        <f t="shared" si="16"/>
        <v>2021</v>
      </c>
      <c r="H374" s="2">
        <f t="shared" si="17"/>
        <v>-317.91000000000003</v>
      </c>
    </row>
    <row r="375" spans="1:8" x14ac:dyDescent="0.25">
      <c r="A375" s="1">
        <v>44289</v>
      </c>
      <c r="B375" t="s">
        <v>390</v>
      </c>
      <c r="C375" t="s">
        <v>11</v>
      </c>
      <c r="D375">
        <v>706.73</v>
      </c>
      <c r="E375" t="s">
        <v>7</v>
      </c>
      <c r="F375" s="2" t="str">
        <f t="shared" si="15"/>
        <v>Apr</v>
      </c>
      <c r="G375" s="2">
        <f t="shared" si="16"/>
        <v>2021</v>
      </c>
      <c r="H375" s="2">
        <f t="shared" si="17"/>
        <v>-706.73</v>
      </c>
    </row>
    <row r="376" spans="1:8" x14ac:dyDescent="0.25">
      <c r="A376" s="1">
        <v>44294</v>
      </c>
      <c r="B376" t="s">
        <v>391</v>
      </c>
      <c r="C376" t="s">
        <v>11</v>
      </c>
      <c r="D376">
        <v>1527.59</v>
      </c>
      <c r="E376" t="s">
        <v>7</v>
      </c>
      <c r="F376" s="2" t="str">
        <f t="shared" si="15"/>
        <v>Apr</v>
      </c>
      <c r="G376" s="2">
        <f t="shared" si="16"/>
        <v>2021</v>
      </c>
      <c r="H376" s="2">
        <f t="shared" si="17"/>
        <v>-1527.59</v>
      </c>
    </row>
    <row r="377" spans="1:8" x14ac:dyDescent="0.25">
      <c r="A377" s="1">
        <v>44294</v>
      </c>
      <c r="B377" t="s">
        <v>392</v>
      </c>
      <c r="C377" t="s">
        <v>17</v>
      </c>
      <c r="D377">
        <v>1691.86</v>
      </c>
      <c r="E377" t="s">
        <v>7</v>
      </c>
      <c r="F377" s="2" t="str">
        <f t="shared" si="15"/>
        <v>Apr</v>
      </c>
      <c r="G377" s="2">
        <f t="shared" si="16"/>
        <v>2021</v>
      </c>
      <c r="H377" s="2">
        <f t="shared" si="17"/>
        <v>-1691.86</v>
      </c>
    </row>
    <row r="378" spans="1:8" x14ac:dyDescent="0.25">
      <c r="A378" s="1">
        <v>44295</v>
      </c>
      <c r="B378" t="s">
        <v>393</v>
      </c>
      <c r="C378" t="s">
        <v>6</v>
      </c>
      <c r="D378">
        <v>1221.9000000000001</v>
      </c>
      <c r="E378" t="s">
        <v>7</v>
      </c>
      <c r="F378" s="2" t="str">
        <f t="shared" si="15"/>
        <v>Apr</v>
      </c>
      <c r="G378" s="2">
        <f t="shared" si="16"/>
        <v>2021</v>
      </c>
      <c r="H378" s="2">
        <f t="shared" si="17"/>
        <v>-1221.9000000000001</v>
      </c>
    </row>
    <row r="379" spans="1:8" x14ac:dyDescent="0.25">
      <c r="A379" s="1">
        <v>44297</v>
      </c>
      <c r="B379" t="s">
        <v>394</v>
      </c>
      <c r="C379" t="s">
        <v>35</v>
      </c>
      <c r="D379">
        <v>67.62</v>
      </c>
      <c r="E379" t="s">
        <v>7</v>
      </c>
      <c r="F379" s="2" t="str">
        <f t="shared" si="15"/>
        <v>Apr</v>
      </c>
      <c r="G379" s="2">
        <f t="shared" si="16"/>
        <v>2021</v>
      </c>
      <c r="H379" s="2">
        <f t="shared" si="17"/>
        <v>-67.62</v>
      </c>
    </row>
    <row r="380" spans="1:8" x14ac:dyDescent="0.25">
      <c r="A380" s="1">
        <v>44297</v>
      </c>
      <c r="B380" t="s">
        <v>395</v>
      </c>
      <c r="C380" t="s">
        <v>35</v>
      </c>
      <c r="D380">
        <v>1843.86</v>
      </c>
      <c r="E380" t="s">
        <v>7</v>
      </c>
      <c r="F380" s="2" t="str">
        <f t="shared" si="15"/>
        <v>Apr</v>
      </c>
      <c r="G380" s="2">
        <f t="shared" si="16"/>
        <v>2021</v>
      </c>
      <c r="H380" s="2">
        <f t="shared" si="17"/>
        <v>-1843.86</v>
      </c>
    </row>
    <row r="381" spans="1:8" x14ac:dyDescent="0.25">
      <c r="A381" s="1">
        <v>44298</v>
      </c>
      <c r="B381" t="s">
        <v>396</v>
      </c>
      <c r="C381" t="s">
        <v>9</v>
      </c>
      <c r="D381">
        <v>1741.03</v>
      </c>
      <c r="E381" t="s">
        <v>7</v>
      </c>
      <c r="F381" s="2" t="str">
        <f t="shared" si="15"/>
        <v>Apr</v>
      </c>
      <c r="G381" s="2">
        <f t="shared" si="16"/>
        <v>2021</v>
      </c>
      <c r="H381" s="2">
        <f t="shared" si="17"/>
        <v>-1741.03</v>
      </c>
    </row>
    <row r="382" spans="1:8" x14ac:dyDescent="0.25">
      <c r="A382" s="1">
        <v>44299</v>
      </c>
      <c r="B382" t="s">
        <v>397</v>
      </c>
      <c r="C382" t="s">
        <v>17</v>
      </c>
      <c r="D382">
        <v>148.47</v>
      </c>
      <c r="E382" t="s">
        <v>7</v>
      </c>
      <c r="F382" s="2" t="str">
        <f t="shared" si="15"/>
        <v>Apr</v>
      </c>
      <c r="G382" s="2">
        <f t="shared" si="16"/>
        <v>2021</v>
      </c>
      <c r="H382" s="2">
        <f t="shared" si="17"/>
        <v>-148.47</v>
      </c>
    </row>
    <row r="383" spans="1:8" x14ac:dyDescent="0.25">
      <c r="A383" s="1">
        <v>44304</v>
      </c>
      <c r="B383" t="s">
        <v>398</v>
      </c>
      <c r="C383" t="s">
        <v>6</v>
      </c>
      <c r="D383">
        <v>192.6</v>
      </c>
      <c r="E383" t="s">
        <v>7</v>
      </c>
      <c r="F383" s="2" t="str">
        <f t="shared" si="15"/>
        <v>Apr</v>
      </c>
      <c r="G383" s="2">
        <f t="shared" si="16"/>
        <v>2021</v>
      </c>
      <c r="H383" s="2">
        <f t="shared" si="17"/>
        <v>-192.6</v>
      </c>
    </row>
    <row r="384" spans="1:8" x14ac:dyDescent="0.25">
      <c r="A384" s="1">
        <v>44305</v>
      </c>
      <c r="B384" t="s">
        <v>399</v>
      </c>
      <c r="C384" t="s">
        <v>17</v>
      </c>
      <c r="D384">
        <v>845.47</v>
      </c>
      <c r="E384" t="s">
        <v>7</v>
      </c>
      <c r="F384" s="2" t="str">
        <f t="shared" si="15"/>
        <v>Apr</v>
      </c>
      <c r="G384" s="2">
        <f t="shared" si="16"/>
        <v>2021</v>
      </c>
      <c r="H384" s="2">
        <f t="shared" si="17"/>
        <v>-845.47</v>
      </c>
    </row>
    <row r="385" spans="1:8" x14ac:dyDescent="0.25">
      <c r="A385" s="1">
        <v>44305</v>
      </c>
      <c r="B385" t="s">
        <v>400</v>
      </c>
      <c r="C385" t="s">
        <v>25</v>
      </c>
      <c r="D385">
        <v>630.16</v>
      </c>
      <c r="E385" t="s">
        <v>7</v>
      </c>
      <c r="F385" s="2" t="str">
        <f t="shared" si="15"/>
        <v>Apr</v>
      </c>
      <c r="G385" s="2">
        <f t="shared" si="16"/>
        <v>2021</v>
      </c>
      <c r="H385" s="2">
        <f t="shared" si="17"/>
        <v>-630.16</v>
      </c>
    </row>
    <row r="386" spans="1:8" x14ac:dyDescent="0.25">
      <c r="A386" s="1">
        <v>44305</v>
      </c>
      <c r="B386" t="s">
        <v>401</v>
      </c>
      <c r="C386" t="s">
        <v>11</v>
      </c>
      <c r="D386">
        <v>1767.85</v>
      </c>
      <c r="E386" t="s">
        <v>7</v>
      </c>
      <c r="F386" s="2" t="str">
        <f t="shared" ref="F386:F449" si="18">TEXT(A386,"mmm")</f>
        <v>Apr</v>
      </c>
      <c r="G386" s="2">
        <f t="shared" ref="G386:G449" si="19">YEAR(A386)</f>
        <v>2021</v>
      </c>
      <c r="H386" s="2">
        <f t="shared" ref="H386:H449" si="20">IF(E386="Income",D386,-D386)</f>
        <v>-1767.85</v>
      </c>
    </row>
    <row r="387" spans="1:8" x14ac:dyDescent="0.25">
      <c r="A387" s="1">
        <v>44305</v>
      </c>
      <c r="B387" t="s">
        <v>402</v>
      </c>
      <c r="C387" t="s">
        <v>13</v>
      </c>
      <c r="D387">
        <v>1168</v>
      </c>
      <c r="E387" t="s">
        <v>14</v>
      </c>
      <c r="F387" s="2" t="str">
        <f t="shared" si="18"/>
        <v>Apr</v>
      </c>
      <c r="G387" s="2">
        <f t="shared" si="19"/>
        <v>2021</v>
      </c>
      <c r="H387" s="2">
        <f t="shared" si="20"/>
        <v>1168</v>
      </c>
    </row>
    <row r="388" spans="1:8" x14ac:dyDescent="0.25">
      <c r="A388" s="1">
        <v>44307</v>
      </c>
      <c r="B388" t="s">
        <v>403</v>
      </c>
      <c r="C388" t="s">
        <v>17</v>
      </c>
      <c r="D388">
        <v>976.47</v>
      </c>
      <c r="E388" t="s">
        <v>7</v>
      </c>
      <c r="F388" s="2" t="str">
        <f t="shared" si="18"/>
        <v>Apr</v>
      </c>
      <c r="G388" s="2">
        <f t="shared" si="19"/>
        <v>2021</v>
      </c>
      <c r="H388" s="2">
        <f t="shared" si="20"/>
        <v>-976.47</v>
      </c>
    </row>
    <row r="389" spans="1:8" x14ac:dyDescent="0.25">
      <c r="A389" s="1">
        <v>44309</v>
      </c>
      <c r="B389" t="s">
        <v>404</v>
      </c>
      <c r="C389" t="s">
        <v>35</v>
      </c>
      <c r="D389">
        <v>438.98</v>
      </c>
      <c r="E389" t="s">
        <v>7</v>
      </c>
      <c r="F389" s="2" t="str">
        <f t="shared" si="18"/>
        <v>Apr</v>
      </c>
      <c r="G389" s="2">
        <f t="shared" si="19"/>
        <v>2021</v>
      </c>
      <c r="H389" s="2">
        <f t="shared" si="20"/>
        <v>-438.98</v>
      </c>
    </row>
    <row r="390" spans="1:8" x14ac:dyDescent="0.25">
      <c r="A390" s="1">
        <v>44309</v>
      </c>
      <c r="B390" t="s">
        <v>405</v>
      </c>
      <c r="C390" t="s">
        <v>25</v>
      </c>
      <c r="D390">
        <v>865.53</v>
      </c>
      <c r="E390" t="s">
        <v>7</v>
      </c>
      <c r="F390" s="2" t="str">
        <f t="shared" si="18"/>
        <v>Apr</v>
      </c>
      <c r="G390" s="2">
        <f t="shared" si="19"/>
        <v>2021</v>
      </c>
      <c r="H390" s="2">
        <f t="shared" si="20"/>
        <v>-865.53</v>
      </c>
    </row>
    <row r="391" spans="1:8" x14ac:dyDescent="0.25">
      <c r="A391" s="1">
        <v>44310</v>
      </c>
      <c r="B391" t="s">
        <v>406</v>
      </c>
      <c r="C391" t="s">
        <v>27</v>
      </c>
      <c r="D391">
        <v>1058.5999999999999</v>
      </c>
      <c r="E391" t="s">
        <v>7</v>
      </c>
      <c r="F391" s="2" t="str">
        <f t="shared" si="18"/>
        <v>Apr</v>
      </c>
      <c r="G391" s="2">
        <f t="shared" si="19"/>
        <v>2021</v>
      </c>
      <c r="H391" s="2">
        <f t="shared" si="20"/>
        <v>-1058.5999999999999</v>
      </c>
    </row>
    <row r="392" spans="1:8" x14ac:dyDescent="0.25">
      <c r="A392" s="1">
        <v>44313</v>
      </c>
      <c r="B392" t="s">
        <v>407</v>
      </c>
      <c r="C392" t="s">
        <v>22</v>
      </c>
      <c r="D392">
        <v>796.57</v>
      </c>
      <c r="E392" t="s">
        <v>7</v>
      </c>
      <c r="F392" s="2" t="str">
        <f t="shared" si="18"/>
        <v>Apr</v>
      </c>
      <c r="G392" s="2">
        <f t="shared" si="19"/>
        <v>2021</v>
      </c>
      <c r="H392" s="2">
        <f t="shared" si="20"/>
        <v>-796.57</v>
      </c>
    </row>
    <row r="393" spans="1:8" x14ac:dyDescent="0.25">
      <c r="A393" s="1">
        <v>44313</v>
      </c>
      <c r="B393" t="s">
        <v>408</v>
      </c>
      <c r="C393" t="s">
        <v>6</v>
      </c>
      <c r="D393">
        <v>416.8</v>
      </c>
      <c r="E393" t="s">
        <v>7</v>
      </c>
      <c r="F393" s="2" t="str">
        <f t="shared" si="18"/>
        <v>Apr</v>
      </c>
      <c r="G393" s="2">
        <f t="shared" si="19"/>
        <v>2021</v>
      </c>
      <c r="H393" s="2">
        <f t="shared" si="20"/>
        <v>-416.8</v>
      </c>
    </row>
    <row r="394" spans="1:8" x14ac:dyDescent="0.25">
      <c r="A394" s="1">
        <v>44313</v>
      </c>
      <c r="B394" t="s">
        <v>409</v>
      </c>
      <c r="C394" t="s">
        <v>9</v>
      </c>
      <c r="D394">
        <v>1530.68</v>
      </c>
      <c r="E394" t="s">
        <v>7</v>
      </c>
      <c r="F394" s="2" t="str">
        <f t="shared" si="18"/>
        <v>Apr</v>
      </c>
      <c r="G394" s="2">
        <f t="shared" si="19"/>
        <v>2021</v>
      </c>
      <c r="H394" s="2">
        <f t="shared" si="20"/>
        <v>-1530.68</v>
      </c>
    </row>
    <row r="395" spans="1:8" x14ac:dyDescent="0.25">
      <c r="A395" s="1">
        <v>44316</v>
      </c>
      <c r="B395" t="s">
        <v>410</v>
      </c>
      <c r="C395" t="s">
        <v>11</v>
      </c>
      <c r="D395">
        <v>25.38</v>
      </c>
      <c r="E395" t="s">
        <v>7</v>
      </c>
      <c r="F395" s="2" t="str">
        <f t="shared" si="18"/>
        <v>Apr</v>
      </c>
      <c r="G395" s="2">
        <f t="shared" si="19"/>
        <v>2021</v>
      </c>
      <c r="H395" s="2">
        <f t="shared" si="20"/>
        <v>-25.38</v>
      </c>
    </row>
    <row r="396" spans="1:8" x14ac:dyDescent="0.25">
      <c r="A396" s="1">
        <v>44318</v>
      </c>
      <c r="B396" t="s">
        <v>411</v>
      </c>
      <c r="C396" t="s">
        <v>9</v>
      </c>
      <c r="D396">
        <v>267.08</v>
      </c>
      <c r="E396" t="s">
        <v>7</v>
      </c>
      <c r="F396" s="2" t="str">
        <f t="shared" si="18"/>
        <v>May</v>
      </c>
      <c r="G396" s="2">
        <f t="shared" si="19"/>
        <v>2021</v>
      </c>
      <c r="H396" s="2">
        <f t="shared" si="20"/>
        <v>-267.08</v>
      </c>
    </row>
    <row r="397" spans="1:8" x14ac:dyDescent="0.25">
      <c r="A397" s="1">
        <v>44320</v>
      </c>
      <c r="B397" t="s">
        <v>412</v>
      </c>
      <c r="C397" t="s">
        <v>22</v>
      </c>
      <c r="D397">
        <v>1005.52</v>
      </c>
      <c r="E397" t="s">
        <v>7</v>
      </c>
      <c r="F397" s="2" t="str">
        <f t="shared" si="18"/>
        <v>May</v>
      </c>
      <c r="G397" s="2">
        <f t="shared" si="19"/>
        <v>2021</v>
      </c>
      <c r="H397" s="2">
        <f t="shared" si="20"/>
        <v>-1005.52</v>
      </c>
    </row>
    <row r="398" spans="1:8" x14ac:dyDescent="0.25">
      <c r="A398" s="1">
        <v>44320</v>
      </c>
      <c r="B398" t="s">
        <v>413</v>
      </c>
      <c r="C398" t="s">
        <v>25</v>
      </c>
      <c r="D398">
        <v>153.43</v>
      </c>
      <c r="E398" t="s">
        <v>7</v>
      </c>
      <c r="F398" s="2" t="str">
        <f t="shared" si="18"/>
        <v>May</v>
      </c>
      <c r="G398" s="2">
        <f t="shared" si="19"/>
        <v>2021</v>
      </c>
      <c r="H398" s="2">
        <f t="shared" si="20"/>
        <v>-153.43</v>
      </c>
    </row>
    <row r="399" spans="1:8" x14ac:dyDescent="0.25">
      <c r="A399" s="1">
        <v>44322</v>
      </c>
      <c r="B399" t="s">
        <v>414</v>
      </c>
      <c r="C399" t="s">
        <v>6</v>
      </c>
      <c r="D399">
        <v>878.08</v>
      </c>
      <c r="E399" t="s">
        <v>7</v>
      </c>
      <c r="F399" s="2" t="str">
        <f t="shared" si="18"/>
        <v>May</v>
      </c>
      <c r="G399" s="2">
        <f t="shared" si="19"/>
        <v>2021</v>
      </c>
      <c r="H399" s="2">
        <f t="shared" si="20"/>
        <v>-878.08</v>
      </c>
    </row>
    <row r="400" spans="1:8" x14ac:dyDescent="0.25">
      <c r="A400" s="1">
        <v>44323</v>
      </c>
      <c r="B400" t="s">
        <v>415</v>
      </c>
      <c r="C400" t="s">
        <v>11</v>
      </c>
      <c r="D400">
        <v>1725.6</v>
      </c>
      <c r="E400" t="s">
        <v>7</v>
      </c>
      <c r="F400" s="2" t="str">
        <f t="shared" si="18"/>
        <v>May</v>
      </c>
      <c r="G400" s="2">
        <f t="shared" si="19"/>
        <v>2021</v>
      </c>
      <c r="H400" s="2">
        <f t="shared" si="20"/>
        <v>-1725.6</v>
      </c>
    </row>
    <row r="401" spans="1:8" x14ac:dyDescent="0.25">
      <c r="A401" s="1">
        <v>44323</v>
      </c>
      <c r="B401" t="s">
        <v>416</v>
      </c>
      <c r="C401" t="s">
        <v>17</v>
      </c>
      <c r="D401">
        <v>1421.9</v>
      </c>
      <c r="E401" t="s">
        <v>7</v>
      </c>
      <c r="F401" s="2" t="str">
        <f t="shared" si="18"/>
        <v>May</v>
      </c>
      <c r="G401" s="2">
        <f t="shared" si="19"/>
        <v>2021</v>
      </c>
      <c r="H401" s="2">
        <f t="shared" si="20"/>
        <v>-1421.9</v>
      </c>
    </row>
    <row r="402" spans="1:8" x14ac:dyDescent="0.25">
      <c r="A402" s="1">
        <v>44323</v>
      </c>
      <c r="B402" t="s">
        <v>417</v>
      </c>
      <c r="C402" t="s">
        <v>11</v>
      </c>
      <c r="D402">
        <v>816.01</v>
      </c>
      <c r="E402" t="s">
        <v>7</v>
      </c>
      <c r="F402" s="2" t="str">
        <f t="shared" si="18"/>
        <v>May</v>
      </c>
      <c r="G402" s="2">
        <f t="shared" si="19"/>
        <v>2021</v>
      </c>
      <c r="H402" s="2">
        <f t="shared" si="20"/>
        <v>-816.01</v>
      </c>
    </row>
    <row r="403" spans="1:8" x14ac:dyDescent="0.25">
      <c r="A403" s="1">
        <v>44326</v>
      </c>
      <c r="B403" t="s">
        <v>418</v>
      </c>
      <c r="C403" t="s">
        <v>9</v>
      </c>
      <c r="D403">
        <v>1604.63</v>
      </c>
      <c r="E403" t="s">
        <v>7</v>
      </c>
      <c r="F403" s="2" t="str">
        <f t="shared" si="18"/>
        <v>May</v>
      </c>
      <c r="G403" s="2">
        <f t="shared" si="19"/>
        <v>2021</v>
      </c>
      <c r="H403" s="2">
        <f t="shared" si="20"/>
        <v>-1604.63</v>
      </c>
    </row>
    <row r="404" spans="1:8" x14ac:dyDescent="0.25">
      <c r="A404" s="1">
        <v>44327</v>
      </c>
      <c r="B404" t="s">
        <v>419</v>
      </c>
      <c r="C404" t="s">
        <v>25</v>
      </c>
      <c r="D404">
        <v>185.38</v>
      </c>
      <c r="E404" t="s">
        <v>7</v>
      </c>
      <c r="F404" s="2" t="str">
        <f t="shared" si="18"/>
        <v>May</v>
      </c>
      <c r="G404" s="2">
        <f t="shared" si="19"/>
        <v>2021</v>
      </c>
      <c r="H404" s="2">
        <f t="shared" si="20"/>
        <v>-185.38</v>
      </c>
    </row>
    <row r="405" spans="1:8" x14ac:dyDescent="0.25">
      <c r="A405" s="1">
        <v>44327</v>
      </c>
      <c r="B405" t="s">
        <v>420</v>
      </c>
      <c r="C405" t="s">
        <v>22</v>
      </c>
      <c r="D405">
        <v>877</v>
      </c>
      <c r="E405" t="s">
        <v>7</v>
      </c>
      <c r="F405" s="2" t="str">
        <f t="shared" si="18"/>
        <v>May</v>
      </c>
      <c r="G405" s="2">
        <f t="shared" si="19"/>
        <v>2021</v>
      </c>
      <c r="H405" s="2">
        <f t="shared" si="20"/>
        <v>-877</v>
      </c>
    </row>
    <row r="406" spans="1:8" x14ac:dyDescent="0.25">
      <c r="A406" s="1">
        <v>44328</v>
      </c>
      <c r="B406" t="s">
        <v>421</v>
      </c>
      <c r="C406" t="s">
        <v>11</v>
      </c>
      <c r="D406">
        <v>797.58</v>
      </c>
      <c r="E406" t="s">
        <v>7</v>
      </c>
      <c r="F406" s="2" t="str">
        <f t="shared" si="18"/>
        <v>May</v>
      </c>
      <c r="G406" s="2">
        <f t="shared" si="19"/>
        <v>2021</v>
      </c>
      <c r="H406" s="2">
        <f t="shared" si="20"/>
        <v>-797.58</v>
      </c>
    </row>
    <row r="407" spans="1:8" x14ac:dyDescent="0.25">
      <c r="A407" s="1">
        <v>44330</v>
      </c>
      <c r="B407" t="s">
        <v>422</v>
      </c>
      <c r="C407" t="s">
        <v>25</v>
      </c>
      <c r="D407">
        <v>450.93</v>
      </c>
      <c r="E407" t="s">
        <v>7</v>
      </c>
      <c r="F407" s="2" t="str">
        <f t="shared" si="18"/>
        <v>May</v>
      </c>
      <c r="G407" s="2">
        <f t="shared" si="19"/>
        <v>2021</v>
      </c>
      <c r="H407" s="2">
        <f t="shared" si="20"/>
        <v>-450.93</v>
      </c>
    </row>
    <row r="408" spans="1:8" x14ac:dyDescent="0.25">
      <c r="A408" s="1">
        <v>44330</v>
      </c>
      <c r="B408" t="s">
        <v>423</v>
      </c>
      <c r="C408" t="s">
        <v>11</v>
      </c>
      <c r="D408">
        <v>1025.8599999999999</v>
      </c>
      <c r="E408" t="s">
        <v>7</v>
      </c>
      <c r="F408" s="2" t="str">
        <f t="shared" si="18"/>
        <v>May</v>
      </c>
      <c r="G408" s="2">
        <f t="shared" si="19"/>
        <v>2021</v>
      </c>
      <c r="H408" s="2">
        <f t="shared" si="20"/>
        <v>-1025.8599999999999</v>
      </c>
    </row>
    <row r="409" spans="1:8" x14ac:dyDescent="0.25">
      <c r="A409" s="1">
        <v>44331</v>
      </c>
      <c r="B409" t="s">
        <v>424</v>
      </c>
      <c r="C409" t="s">
        <v>13</v>
      </c>
      <c r="D409">
        <v>3362</v>
      </c>
      <c r="E409" t="s">
        <v>14</v>
      </c>
      <c r="F409" s="2" t="str">
        <f t="shared" si="18"/>
        <v>May</v>
      </c>
      <c r="G409" s="2">
        <f t="shared" si="19"/>
        <v>2021</v>
      </c>
      <c r="H409" s="2">
        <f t="shared" si="20"/>
        <v>3362</v>
      </c>
    </row>
    <row r="410" spans="1:8" x14ac:dyDescent="0.25">
      <c r="A410" s="1">
        <v>44333</v>
      </c>
      <c r="B410" t="s">
        <v>425</v>
      </c>
      <c r="C410" t="s">
        <v>9</v>
      </c>
      <c r="D410">
        <v>480.18</v>
      </c>
      <c r="E410" t="s">
        <v>7</v>
      </c>
      <c r="F410" s="2" t="str">
        <f t="shared" si="18"/>
        <v>May</v>
      </c>
      <c r="G410" s="2">
        <f t="shared" si="19"/>
        <v>2021</v>
      </c>
      <c r="H410" s="2">
        <f t="shared" si="20"/>
        <v>-480.18</v>
      </c>
    </row>
    <row r="411" spans="1:8" x14ac:dyDescent="0.25">
      <c r="A411" s="1">
        <v>44335</v>
      </c>
      <c r="B411" t="s">
        <v>426</v>
      </c>
      <c r="C411" t="s">
        <v>13</v>
      </c>
      <c r="D411">
        <v>1921</v>
      </c>
      <c r="E411" t="s">
        <v>14</v>
      </c>
      <c r="F411" s="2" t="str">
        <f t="shared" si="18"/>
        <v>May</v>
      </c>
      <c r="G411" s="2">
        <f t="shared" si="19"/>
        <v>2021</v>
      </c>
      <c r="H411" s="2">
        <f t="shared" si="20"/>
        <v>1921</v>
      </c>
    </row>
    <row r="412" spans="1:8" x14ac:dyDescent="0.25">
      <c r="A412" s="1">
        <v>44338</v>
      </c>
      <c r="B412" t="s">
        <v>427</v>
      </c>
      <c r="C412" t="s">
        <v>11</v>
      </c>
      <c r="D412">
        <v>362.52</v>
      </c>
      <c r="E412" t="s">
        <v>7</v>
      </c>
      <c r="F412" s="2" t="str">
        <f t="shared" si="18"/>
        <v>May</v>
      </c>
      <c r="G412" s="2">
        <f t="shared" si="19"/>
        <v>2021</v>
      </c>
      <c r="H412" s="2">
        <f t="shared" si="20"/>
        <v>-362.52</v>
      </c>
    </row>
    <row r="413" spans="1:8" x14ac:dyDescent="0.25">
      <c r="A413" s="1">
        <v>44339</v>
      </c>
      <c r="B413" t="s">
        <v>428</v>
      </c>
      <c r="C413" t="s">
        <v>27</v>
      </c>
      <c r="D413">
        <v>933.27</v>
      </c>
      <c r="E413" t="s">
        <v>7</v>
      </c>
      <c r="F413" s="2" t="str">
        <f t="shared" si="18"/>
        <v>May</v>
      </c>
      <c r="G413" s="2">
        <f t="shared" si="19"/>
        <v>2021</v>
      </c>
      <c r="H413" s="2">
        <f t="shared" si="20"/>
        <v>-933.27</v>
      </c>
    </row>
    <row r="414" spans="1:8" x14ac:dyDescent="0.25">
      <c r="A414" s="1">
        <v>44340</v>
      </c>
      <c r="B414" t="s">
        <v>429</v>
      </c>
      <c r="C414" t="s">
        <v>27</v>
      </c>
      <c r="D414">
        <v>1365.46</v>
      </c>
      <c r="E414" t="s">
        <v>7</v>
      </c>
      <c r="F414" s="2" t="str">
        <f t="shared" si="18"/>
        <v>May</v>
      </c>
      <c r="G414" s="2">
        <f t="shared" si="19"/>
        <v>2021</v>
      </c>
      <c r="H414" s="2">
        <f t="shared" si="20"/>
        <v>-1365.46</v>
      </c>
    </row>
    <row r="415" spans="1:8" x14ac:dyDescent="0.25">
      <c r="A415" s="1">
        <v>44340</v>
      </c>
      <c r="B415" t="s">
        <v>430</v>
      </c>
      <c r="C415" t="s">
        <v>25</v>
      </c>
      <c r="D415">
        <v>1729.85</v>
      </c>
      <c r="E415" t="s">
        <v>7</v>
      </c>
      <c r="F415" s="2" t="str">
        <f t="shared" si="18"/>
        <v>May</v>
      </c>
      <c r="G415" s="2">
        <f t="shared" si="19"/>
        <v>2021</v>
      </c>
      <c r="H415" s="2">
        <f t="shared" si="20"/>
        <v>-1729.85</v>
      </c>
    </row>
    <row r="416" spans="1:8" x14ac:dyDescent="0.25">
      <c r="A416" s="1">
        <v>44340</v>
      </c>
      <c r="B416" t="s">
        <v>431</v>
      </c>
      <c r="C416" t="s">
        <v>9</v>
      </c>
      <c r="D416">
        <v>885.13</v>
      </c>
      <c r="E416" t="s">
        <v>7</v>
      </c>
      <c r="F416" s="2" t="str">
        <f t="shared" si="18"/>
        <v>May</v>
      </c>
      <c r="G416" s="2">
        <f t="shared" si="19"/>
        <v>2021</v>
      </c>
      <c r="H416" s="2">
        <f t="shared" si="20"/>
        <v>-885.13</v>
      </c>
    </row>
    <row r="417" spans="1:8" x14ac:dyDescent="0.25">
      <c r="A417" s="1">
        <v>44341</v>
      </c>
      <c r="B417" t="s">
        <v>432</v>
      </c>
      <c r="C417" t="s">
        <v>35</v>
      </c>
      <c r="D417">
        <v>1594.7</v>
      </c>
      <c r="E417" t="s">
        <v>7</v>
      </c>
      <c r="F417" s="2" t="str">
        <f t="shared" si="18"/>
        <v>May</v>
      </c>
      <c r="G417" s="2">
        <f t="shared" si="19"/>
        <v>2021</v>
      </c>
      <c r="H417" s="2">
        <f t="shared" si="20"/>
        <v>-1594.7</v>
      </c>
    </row>
    <row r="418" spans="1:8" x14ac:dyDescent="0.25">
      <c r="A418" s="1">
        <v>44341</v>
      </c>
      <c r="B418" t="s">
        <v>433</v>
      </c>
      <c r="C418" t="s">
        <v>25</v>
      </c>
      <c r="D418">
        <v>1019.6</v>
      </c>
      <c r="E418" t="s">
        <v>7</v>
      </c>
      <c r="F418" s="2" t="str">
        <f t="shared" si="18"/>
        <v>May</v>
      </c>
      <c r="G418" s="2">
        <f t="shared" si="19"/>
        <v>2021</v>
      </c>
      <c r="H418" s="2">
        <f t="shared" si="20"/>
        <v>-1019.6</v>
      </c>
    </row>
    <row r="419" spans="1:8" x14ac:dyDescent="0.25">
      <c r="A419" s="1">
        <v>44343</v>
      </c>
      <c r="B419" t="s">
        <v>434</v>
      </c>
      <c r="C419" t="s">
        <v>27</v>
      </c>
      <c r="D419">
        <v>84.84</v>
      </c>
      <c r="E419" t="s">
        <v>7</v>
      </c>
      <c r="F419" s="2" t="str">
        <f t="shared" si="18"/>
        <v>May</v>
      </c>
      <c r="G419" s="2">
        <f t="shared" si="19"/>
        <v>2021</v>
      </c>
      <c r="H419" s="2">
        <f t="shared" si="20"/>
        <v>-84.84</v>
      </c>
    </row>
    <row r="420" spans="1:8" x14ac:dyDescent="0.25">
      <c r="A420" s="1">
        <v>44343</v>
      </c>
      <c r="B420" t="s">
        <v>435</v>
      </c>
      <c r="C420" t="s">
        <v>35</v>
      </c>
      <c r="D420">
        <v>162.69</v>
      </c>
      <c r="E420" t="s">
        <v>7</v>
      </c>
      <c r="F420" s="2" t="str">
        <f t="shared" si="18"/>
        <v>May</v>
      </c>
      <c r="G420" s="2">
        <f t="shared" si="19"/>
        <v>2021</v>
      </c>
      <c r="H420" s="2">
        <f t="shared" si="20"/>
        <v>-162.69</v>
      </c>
    </row>
    <row r="421" spans="1:8" x14ac:dyDescent="0.25">
      <c r="A421" s="1">
        <v>44345</v>
      </c>
      <c r="B421" t="s">
        <v>436</v>
      </c>
      <c r="C421" t="s">
        <v>11</v>
      </c>
      <c r="D421">
        <v>1233.8699999999999</v>
      </c>
      <c r="E421" t="s">
        <v>7</v>
      </c>
      <c r="F421" s="2" t="str">
        <f t="shared" si="18"/>
        <v>May</v>
      </c>
      <c r="G421" s="2">
        <f t="shared" si="19"/>
        <v>2021</v>
      </c>
      <c r="H421" s="2">
        <f t="shared" si="20"/>
        <v>-1233.8699999999999</v>
      </c>
    </row>
    <row r="422" spans="1:8" x14ac:dyDescent="0.25">
      <c r="A422" s="1">
        <v>44346</v>
      </c>
      <c r="B422" t="s">
        <v>437</v>
      </c>
      <c r="C422" t="s">
        <v>27</v>
      </c>
      <c r="D422">
        <v>1164.8599999999999</v>
      </c>
      <c r="E422" t="s">
        <v>7</v>
      </c>
      <c r="F422" s="2" t="str">
        <f t="shared" si="18"/>
        <v>May</v>
      </c>
      <c r="G422" s="2">
        <f t="shared" si="19"/>
        <v>2021</v>
      </c>
      <c r="H422" s="2">
        <f t="shared" si="20"/>
        <v>-1164.8599999999999</v>
      </c>
    </row>
    <row r="423" spans="1:8" x14ac:dyDescent="0.25">
      <c r="A423" s="1">
        <v>44347</v>
      </c>
      <c r="B423" t="s">
        <v>438</v>
      </c>
      <c r="C423" t="s">
        <v>6</v>
      </c>
      <c r="D423">
        <v>904.97</v>
      </c>
      <c r="E423" t="s">
        <v>7</v>
      </c>
      <c r="F423" s="2" t="str">
        <f t="shared" si="18"/>
        <v>May</v>
      </c>
      <c r="G423" s="2">
        <f t="shared" si="19"/>
        <v>2021</v>
      </c>
      <c r="H423" s="2">
        <f t="shared" si="20"/>
        <v>-904.97</v>
      </c>
    </row>
    <row r="424" spans="1:8" x14ac:dyDescent="0.25">
      <c r="A424" s="1">
        <v>44347</v>
      </c>
      <c r="B424" t="s">
        <v>439</v>
      </c>
      <c r="C424" t="s">
        <v>22</v>
      </c>
      <c r="D424">
        <v>649.84</v>
      </c>
      <c r="E424" t="s">
        <v>7</v>
      </c>
      <c r="F424" s="2" t="str">
        <f t="shared" si="18"/>
        <v>May</v>
      </c>
      <c r="G424" s="2">
        <f t="shared" si="19"/>
        <v>2021</v>
      </c>
      <c r="H424" s="2">
        <f t="shared" si="20"/>
        <v>-649.84</v>
      </c>
    </row>
    <row r="425" spans="1:8" x14ac:dyDescent="0.25">
      <c r="A425" s="1">
        <v>44349</v>
      </c>
      <c r="B425" t="s">
        <v>440</v>
      </c>
      <c r="C425" t="s">
        <v>9</v>
      </c>
      <c r="D425">
        <v>1915.87</v>
      </c>
      <c r="E425" t="s">
        <v>7</v>
      </c>
      <c r="F425" s="2" t="str">
        <f t="shared" si="18"/>
        <v>Jun</v>
      </c>
      <c r="G425" s="2">
        <f t="shared" si="19"/>
        <v>2021</v>
      </c>
      <c r="H425" s="2">
        <f t="shared" si="20"/>
        <v>-1915.87</v>
      </c>
    </row>
    <row r="426" spans="1:8" x14ac:dyDescent="0.25">
      <c r="A426" s="1">
        <v>44349</v>
      </c>
      <c r="B426" t="s">
        <v>441</v>
      </c>
      <c r="C426" t="s">
        <v>25</v>
      </c>
      <c r="D426">
        <v>1964.95</v>
      </c>
      <c r="E426" t="s">
        <v>7</v>
      </c>
      <c r="F426" s="2" t="str">
        <f t="shared" si="18"/>
        <v>Jun</v>
      </c>
      <c r="G426" s="2">
        <f t="shared" si="19"/>
        <v>2021</v>
      </c>
      <c r="H426" s="2">
        <f t="shared" si="20"/>
        <v>-1964.95</v>
      </c>
    </row>
    <row r="427" spans="1:8" x14ac:dyDescent="0.25">
      <c r="A427" s="1">
        <v>44350</v>
      </c>
      <c r="B427" t="s">
        <v>442</v>
      </c>
      <c r="C427" t="s">
        <v>13</v>
      </c>
      <c r="D427">
        <v>820</v>
      </c>
      <c r="E427" t="s">
        <v>14</v>
      </c>
      <c r="F427" s="2" t="str">
        <f t="shared" si="18"/>
        <v>Jun</v>
      </c>
      <c r="G427" s="2">
        <f t="shared" si="19"/>
        <v>2021</v>
      </c>
      <c r="H427" s="2">
        <f t="shared" si="20"/>
        <v>820</v>
      </c>
    </row>
    <row r="428" spans="1:8" x14ac:dyDescent="0.25">
      <c r="A428" s="1">
        <v>44353</v>
      </c>
      <c r="B428" t="s">
        <v>443</v>
      </c>
      <c r="C428" t="s">
        <v>27</v>
      </c>
      <c r="D428">
        <v>1982.06</v>
      </c>
      <c r="E428" t="s">
        <v>7</v>
      </c>
      <c r="F428" s="2" t="str">
        <f t="shared" si="18"/>
        <v>Jun</v>
      </c>
      <c r="G428" s="2">
        <f t="shared" si="19"/>
        <v>2021</v>
      </c>
      <c r="H428" s="2">
        <f t="shared" si="20"/>
        <v>-1982.06</v>
      </c>
    </row>
    <row r="429" spans="1:8" x14ac:dyDescent="0.25">
      <c r="A429" s="1">
        <v>44353</v>
      </c>
      <c r="B429" t="s">
        <v>444</v>
      </c>
      <c r="C429" t="s">
        <v>9</v>
      </c>
      <c r="D429">
        <v>734.16</v>
      </c>
      <c r="E429" t="s">
        <v>7</v>
      </c>
      <c r="F429" s="2" t="str">
        <f t="shared" si="18"/>
        <v>Jun</v>
      </c>
      <c r="G429" s="2">
        <f t="shared" si="19"/>
        <v>2021</v>
      </c>
      <c r="H429" s="2">
        <f t="shared" si="20"/>
        <v>-734.16</v>
      </c>
    </row>
    <row r="430" spans="1:8" x14ac:dyDescent="0.25">
      <c r="A430" s="1">
        <v>44353</v>
      </c>
      <c r="B430" t="s">
        <v>445</v>
      </c>
      <c r="C430" t="s">
        <v>17</v>
      </c>
      <c r="D430">
        <v>823.45</v>
      </c>
      <c r="E430" t="s">
        <v>7</v>
      </c>
      <c r="F430" s="2" t="str">
        <f t="shared" si="18"/>
        <v>Jun</v>
      </c>
      <c r="G430" s="2">
        <f t="shared" si="19"/>
        <v>2021</v>
      </c>
      <c r="H430" s="2">
        <f t="shared" si="20"/>
        <v>-823.45</v>
      </c>
    </row>
    <row r="431" spans="1:8" x14ac:dyDescent="0.25">
      <c r="A431" s="1">
        <v>44356</v>
      </c>
      <c r="B431" t="s">
        <v>446</v>
      </c>
      <c r="C431" t="s">
        <v>6</v>
      </c>
      <c r="D431">
        <v>1580.56</v>
      </c>
      <c r="E431" t="s">
        <v>7</v>
      </c>
      <c r="F431" s="2" t="str">
        <f t="shared" si="18"/>
        <v>Jun</v>
      </c>
      <c r="G431" s="2">
        <f t="shared" si="19"/>
        <v>2021</v>
      </c>
      <c r="H431" s="2">
        <f t="shared" si="20"/>
        <v>-1580.56</v>
      </c>
    </row>
    <row r="432" spans="1:8" x14ac:dyDescent="0.25">
      <c r="A432" s="1">
        <v>44358</v>
      </c>
      <c r="B432" t="s">
        <v>447</v>
      </c>
      <c r="C432" t="s">
        <v>11</v>
      </c>
      <c r="D432">
        <v>666.08</v>
      </c>
      <c r="E432" t="s">
        <v>7</v>
      </c>
      <c r="F432" s="2" t="str">
        <f t="shared" si="18"/>
        <v>Jun</v>
      </c>
      <c r="G432" s="2">
        <f t="shared" si="19"/>
        <v>2021</v>
      </c>
      <c r="H432" s="2">
        <f t="shared" si="20"/>
        <v>-666.08</v>
      </c>
    </row>
    <row r="433" spans="1:8" x14ac:dyDescent="0.25">
      <c r="A433" s="1">
        <v>44358</v>
      </c>
      <c r="B433" t="s">
        <v>448</v>
      </c>
      <c r="C433" t="s">
        <v>17</v>
      </c>
      <c r="D433">
        <v>575.45000000000005</v>
      </c>
      <c r="E433" t="s">
        <v>7</v>
      </c>
      <c r="F433" s="2" t="str">
        <f t="shared" si="18"/>
        <v>Jun</v>
      </c>
      <c r="G433" s="2">
        <f t="shared" si="19"/>
        <v>2021</v>
      </c>
      <c r="H433" s="2">
        <f t="shared" si="20"/>
        <v>-575.45000000000005</v>
      </c>
    </row>
    <row r="434" spans="1:8" x14ac:dyDescent="0.25">
      <c r="A434" s="1">
        <v>44361</v>
      </c>
      <c r="B434" t="s">
        <v>449</v>
      </c>
      <c r="C434" t="s">
        <v>9</v>
      </c>
      <c r="D434">
        <v>673.39</v>
      </c>
      <c r="E434" t="s">
        <v>7</v>
      </c>
      <c r="F434" s="2" t="str">
        <f t="shared" si="18"/>
        <v>Jun</v>
      </c>
      <c r="G434" s="2">
        <f t="shared" si="19"/>
        <v>2021</v>
      </c>
      <c r="H434" s="2">
        <f t="shared" si="20"/>
        <v>-673.39</v>
      </c>
    </row>
    <row r="435" spans="1:8" x14ac:dyDescent="0.25">
      <c r="A435" s="1">
        <v>44362</v>
      </c>
      <c r="B435" t="s">
        <v>450</v>
      </c>
      <c r="C435" t="s">
        <v>9</v>
      </c>
      <c r="D435">
        <v>1834.33</v>
      </c>
      <c r="E435" t="s">
        <v>7</v>
      </c>
      <c r="F435" s="2" t="str">
        <f t="shared" si="18"/>
        <v>Jun</v>
      </c>
      <c r="G435" s="2">
        <f t="shared" si="19"/>
        <v>2021</v>
      </c>
      <c r="H435" s="2">
        <f t="shared" si="20"/>
        <v>-1834.33</v>
      </c>
    </row>
    <row r="436" spans="1:8" x14ac:dyDescent="0.25">
      <c r="A436" s="1">
        <v>44363</v>
      </c>
      <c r="B436" t="s">
        <v>451</v>
      </c>
      <c r="C436" t="s">
        <v>17</v>
      </c>
      <c r="D436">
        <v>266.61</v>
      </c>
      <c r="E436" t="s">
        <v>7</v>
      </c>
      <c r="F436" s="2" t="str">
        <f t="shared" si="18"/>
        <v>Jun</v>
      </c>
      <c r="G436" s="2">
        <f t="shared" si="19"/>
        <v>2021</v>
      </c>
      <c r="H436" s="2">
        <f t="shared" si="20"/>
        <v>-266.61</v>
      </c>
    </row>
    <row r="437" spans="1:8" x14ac:dyDescent="0.25">
      <c r="A437" s="1">
        <v>44367</v>
      </c>
      <c r="B437" t="s">
        <v>452</v>
      </c>
      <c r="C437" t="s">
        <v>11</v>
      </c>
      <c r="D437">
        <v>626.07000000000005</v>
      </c>
      <c r="E437" t="s">
        <v>7</v>
      </c>
      <c r="F437" s="2" t="str">
        <f t="shared" si="18"/>
        <v>Jun</v>
      </c>
      <c r="G437" s="2">
        <f t="shared" si="19"/>
        <v>2021</v>
      </c>
      <c r="H437" s="2">
        <f t="shared" si="20"/>
        <v>-626.07000000000005</v>
      </c>
    </row>
    <row r="438" spans="1:8" x14ac:dyDescent="0.25">
      <c r="A438" s="1">
        <v>44367</v>
      </c>
      <c r="B438" t="s">
        <v>453</v>
      </c>
      <c r="C438" t="s">
        <v>25</v>
      </c>
      <c r="D438">
        <v>1628.24</v>
      </c>
      <c r="E438" t="s">
        <v>7</v>
      </c>
      <c r="F438" s="2" t="str">
        <f t="shared" si="18"/>
        <v>Jun</v>
      </c>
      <c r="G438" s="2">
        <f t="shared" si="19"/>
        <v>2021</v>
      </c>
      <c r="H438" s="2">
        <f t="shared" si="20"/>
        <v>-1628.24</v>
      </c>
    </row>
    <row r="439" spans="1:8" x14ac:dyDescent="0.25">
      <c r="A439" s="1">
        <v>44369</v>
      </c>
      <c r="B439" t="s">
        <v>454</v>
      </c>
      <c r="C439" t="s">
        <v>11</v>
      </c>
      <c r="D439">
        <v>1295.5899999999999</v>
      </c>
      <c r="E439" t="s">
        <v>7</v>
      </c>
      <c r="F439" s="2" t="str">
        <f t="shared" si="18"/>
        <v>Jun</v>
      </c>
      <c r="G439" s="2">
        <f t="shared" si="19"/>
        <v>2021</v>
      </c>
      <c r="H439" s="2">
        <f t="shared" si="20"/>
        <v>-1295.5899999999999</v>
      </c>
    </row>
    <row r="440" spans="1:8" x14ac:dyDescent="0.25">
      <c r="A440" s="1">
        <v>44370</v>
      </c>
      <c r="B440" t="s">
        <v>455</v>
      </c>
      <c r="C440" t="s">
        <v>25</v>
      </c>
      <c r="D440">
        <v>46.28</v>
      </c>
      <c r="E440" t="s">
        <v>7</v>
      </c>
      <c r="F440" s="2" t="str">
        <f t="shared" si="18"/>
        <v>Jun</v>
      </c>
      <c r="G440" s="2">
        <f t="shared" si="19"/>
        <v>2021</v>
      </c>
      <c r="H440" s="2">
        <f t="shared" si="20"/>
        <v>-46.28</v>
      </c>
    </row>
    <row r="441" spans="1:8" x14ac:dyDescent="0.25">
      <c r="A441" s="1">
        <v>44371</v>
      </c>
      <c r="B441" t="s">
        <v>456</v>
      </c>
      <c r="C441" t="s">
        <v>22</v>
      </c>
      <c r="D441">
        <v>690.05</v>
      </c>
      <c r="E441" t="s">
        <v>7</v>
      </c>
      <c r="F441" s="2" t="str">
        <f t="shared" si="18"/>
        <v>Jun</v>
      </c>
      <c r="G441" s="2">
        <f t="shared" si="19"/>
        <v>2021</v>
      </c>
      <c r="H441" s="2">
        <f t="shared" si="20"/>
        <v>-690.05</v>
      </c>
    </row>
    <row r="442" spans="1:8" x14ac:dyDescent="0.25">
      <c r="A442" s="1">
        <v>44373</v>
      </c>
      <c r="B442" t="s">
        <v>457</v>
      </c>
      <c r="C442" t="s">
        <v>22</v>
      </c>
      <c r="D442">
        <v>460.82</v>
      </c>
      <c r="E442" t="s">
        <v>7</v>
      </c>
      <c r="F442" s="2" t="str">
        <f t="shared" si="18"/>
        <v>Jun</v>
      </c>
      <c r="G442" s="2">
        <f t="shared" si="19"/>
        <v>2021</v>
      </c>
      <c r="H442" s="2">
        <f t="shared" si="20"/>
        <v>-460.82</v>
      </c>
    </row>
    <row r="443" spans="1:8" x14ac:dyDescent="0.25">
      <c r="A443" s="1">
        <v>44374</v>
      </c>
      <c r="B443" t="s">
        <v>458</v>
      </c>
      <c r="C443" t="s">
        <v>13</v>
      </c>
      <c r="D443">
        <v>2923</v>
      </c>
      <c r="E443" t="s">
        <v>14</v>
      </c>
      <c r="F443" s="2" t="str">
        <f t="shared" si="18"/>
        <v>Jun</v>
      </c>
      <c r="G443" s="2">
        <f t="shared" si="19"/>
        <v>2021</v>
      </c>
      <c r="H443" s="2">
        <f t="shared" si="20"/>
        <v>2923</v>
      </c>
    </row>
    <row r="444" spans="1:8" x14ac:dyDescent="0.25">
      <c r="A444" s="1">
        <v>44375</v>
      </c>
      <c r="B444" t="s">
        <v>459</v>
      </c>
      <c r="C444" t="s">
        <v>11</v>
      </c>
      <c r="D444">
        <v>1020.3</v>
      </c>
      <c r="E444" t="s">
        <v>7</v>
      </c>
      <c r="F444" s="2" t="str">
        <f t="shared" si="18"/>
        <v>Jun</v>
      </c>
      <c r="G444" s="2">
        <f t="shared" si="19"/>
        <v>2021</v>
      </c>
      <c r="H444" s="2">
        <f t="shared" si="20"/>
        <v>-1020.3</v>
      </c>
    </row>
    <row r="445" spans="1:8" x14ac:dyDescent="0.25">
      <c r="A445" s="1">
        <v>44375</v>
      </c>
      <c r="B445" t="s">
        <v>460</v>
      </c>
      <c r="C445" t="s">
        <v>6</v>
      </c>
      <c r="D445">
        <v>1327.24</v>
      </c>
      <c r="E445" t="s">
        <v>7</v>
      </c>
      <c r="F445" s="2" t="str">
        <f t="shared" si="18"/>
        <v>Jun</v>
      </c>
      <c r="G445" s="2">
        <f t="shared" si="19"/>
        <v>2021</v>
      </c>
      <c r="H445" s="2">
        <f t="shared" si="20"/>
        <v>-1327.24</v>
      </c>
    </row>
    <row r="446" spans="1:8" x14ac:dyDescent="0.25">
      <c r="A446" s="1">
        <v>44375</v>
      </c>
      <c r="B446" t="s">
        <v>461</v>
      </c>
      <c r="C446" t="s">
        <v>9</v>
      </c>
      <c r="D446">
        <v>1198.52</v>
      </c>
      <c r="E446" t="s">
        <v>7</v>
      </c>
      <c r="F446" s="2" t="str">
        <f t="shared" si="18"/>
        <v>Jun</v>
      </c>
      <c r="G446" s="2">
        <f t="shared" si="19"/>
        <v>2021</v>
      </c>
      <c r="H446" s="2">
        <f t="shared" si="20"/>
        <v>-1198.52</v>
      </c>
    </row>
    <row r="447" spans="1:8" x14ac:dyDescent="0.25">
      <c r="A447" s="1">
        <v>44375</v>
      </c>
      <c r="B447" t="s">
        <v>462</v>
      </c>
      <c r="C447" t="s">
        <v>13</v>
      </c>
      <c r="D447">
        <v>1856</v>
      </c>
      <c r="E447" t="s">
        <v>14</v>
      </c>
      <c r="F447" s="2" t="str">
        <f t="shared" si="18"/>
        <v>Jun</v>
      </c>
      <c r="G447" s="2">
        <f t="shared" si="19"/>
        <v>2021</v>
      </c>
      <c r="H447" s="2">
        <f t="shared" si="20"/>
        <v>1856</v>
      </c>
    </row>
    <row r="448" spans="1:8" x14ac:dyDescent="0.25">
      <c r="A448" s="1">
        <v>44376</v>
      </c>
      <c r="B448" t="s">
        <v>463</v>
      </c>
      <c r="C448" t="s">
        <v>6</v>
      </c>
      <c r="D448">
        <v>827.61</v>
      </c>
      <c r="E448" t="s">
        <v>7</v>
      </c>
      <c r="F448" s="2" t="str">
        <f t="shared" si="18"/>
        <v>Jun</v>
      </c>
      <c r="G448" s="2">
        <f t="shared" si="19"/>
        <v>2021</v>
      </c>
      <c r="H448" s="2">
        <f t="shared" si="20"/>
        <v>-827.61</v>
      </c>
    </row>
    <row r="449" spans="1:8" x14ac:dyDescent="0.25">
      <c r="A449" s="1">
        <v>44381</v>
      </c>
      <c r="B449" t="s">
        <v>464</v>
      </c>
      <c r="C449" t="s">
        <v>22</v>
      </c>
      <c r="D449">
        <v>1939.48</v>
      </c>
      <c r="E449" t="s">
        <v>7</v>
      </c>
      <c r="F449" s="2" t="str">
        <f t="shared" si="18"/>
        <v>Jul</v>
      </c>
      <c r="G449" s="2">
        <f t="shared" si="19"/>
        <v>2021</v>
      </c>
      <c r="H449" s="2">
        <f t="shared" si="20"/>
        <v>-1939.48</v>
      </c>
    </row>
    <row r="450" spans="1:8" x14ac:dyDescent="0.25">
      <c r="A450" s="1">
        <v>44381</v>
      </c>
      <c r="B450" t="s">
        <v>465</v>
      </c>
      <c r="C450" t="s">
        <v>27</v>
      </c>
      <c r="D450">
        <v>475.67</v>
      </c>
      <c r="E450" t="s">
        <v>7</v>
      </c>
      <c r="F450" s="2" t="str">
        <f t="shared" ref="F450:F513" si="21">TEXT(A450,"mmm")</f>
        <v>Jul</v>
      </c>
      <c r="G450" s="2">
        <f t="shared" ref="G450:G513" si="22">YEAR(A450)</f>
        <v>2021</v>
      </c>
      <c r="H450" s="2">
        <f t="shared" ref="H450:H513" si="23">IF(E450="Income",D450,-D450)</f>
        <v>-475.67</v>
      </c>
    </row>
    <row r="451" spans="1:8" x14ac:dyDescent="0.25">
      <c r="A451" s="1">
        <v>44381</v>
      </c>
      <c r="B451" t="s">
        <v>466</v>
      </c>
      <c r="C451" t="s">
        <v>27</v>
      </c>
      <c r="D451">
        <v>1808.91</v>
      </c>
      <c r="E451" t="s">
        <v>7</v>
      </c>
      <c r="F451" s="2" t="str">
        <f t="shared" si="21"/>
        <v>Jul</v>
      </c>
      <c r="G451" s="2">
        <f t="shared" si="22"/>
        <v>2021</v>
      </c>
      <c r="H451" s="2">
        <f t="shared" si="23"/>
        <v>-1808.91</v>
      </c>
    </row>
    <row r="452" spans="1:8" x14ac:dyDescent="0.25">
      <c r="A452" s="1">
        <v>44383</v>
      </c>
      <c r="B452" t="s">
        <v>467</v>
      </c>
      <c r="C452" t="s">
        <v>20</v>
      </c>
      <c r="D452">
        <v>4282</v>
      </c>
      <c r="E452" t="s">
        <v>14</v>
      </c>
      <c r="F452" s="2" t="str">
        <f t="shared" si="21"/>
        <v>Jul</v>
      </c>
      <c r="G452" s="2">
        <f t="shared" si="22"/>
        <v>2021</v>
      </c>
      <c r="H452" s="2">
        <f t="shared" si="23"/>
        <v>4282</v>
      </c>
    </row>
    <row r="453" spans="1:8" x14ac:dyDescent="0.25">
      <c r="A453" s="1">
        <v>44384</v>
      </c>
      <c r="B453" t="s">
        <v>468</v>
      </c>
      <c r="C453" t="s">
        <v>17</v>
      </c>
      <c r="D453">
        <v>1010.78</v>
      </c>
      <c r="E453" t="s">
        <v>7</v>
      </c>
      <c r="F453" s="2" t="str">
        <f t="shared" si="21"/>
        <v>Jul</v>
      </c>
      <c r="G453" s="2">
        <f t="shared" si="22"/>
        <v>2021</v>
      </c>
      <c r="H453" s="2">
        <f t="shared" si="23"/>
        <v>-1010.78</v>
      </c>
    </row>
    <row r="454" spans="1:8" x14ac:dyDescent="0.25">
      <c r="A454" s="1">
        <v>44386</v>
      </c>
      <c r="B454" t="s">
        <v>469</v>
      </c>
      <c r="C454" t="s">
        <v>9</v>
      </c>
      <c r="D454">
        <v>1635.61</v>
      </c>
      <c r="E454" t="s">
        <v>7</v>
      </c>
      <c r="F454" s="2" t="str">
        <f t="shared" si="21"/>
        <v>Jul</v>
      </c>
      <c r="G454" s="2">
        <f t="shared" si="22"/>
        <v>2021</v>
      </c>
      <c r="H454" s="2">
        <f t="shared" si="23"/>
        <v>-1635.61</v>
      </c>
    </row>
    <row r="455" spans="1:8" x14ac:dyDescent="0.25">
      <c r="A455" s="1">
        <v>44386</v>
      </c>
      <c r="B455" t="s">
        <v>470</v>
      </c>
      <c r="C455" t="s">
        <v>9</v>
      </c>
      <c r="D455">
        <v>1747.27</v>
      </c>
      <c r="E455" t="s">
        <v>7</v>
      </c>
      <c r="F455" s="2" t="str">
        <f t="shared" si="21"/>
        <v>Jul</v>
      </c>
      <c r="G455" s="2">
        <f t="shared" si="22"/>
        <v>2021</v>
      </c>
      <c r="H455" s="2">
        <f t="shared" si="23"/>
        <v>-1747.27</v>
      </c>
    </row>
    <row r="456" spans="1:8" x14ac:dyDescent="0.25">
      <c r="A456" s="1">
        <v>44387</v>
      </c>
      <c r="B456" t="s">
        <v>471</v>
      </c>
      <c r="C456" t="s">
        <v>20</v>
      </c>
      <c r="D456">
        <v>3540</v>
      </c>
      <c r="E456" t="s">
        <v>14</v>
      </c>
      <c r="F456" s="2" t="str">
        <f t="shared" si="21"/>
        <v>Jul</v>
      </c>
      <c r="G456" s="2">
        <f t="shared" si="22"/>
        <v>2021</v>
      </c>
      <c r="H456" s="2">
        <f t="shared" si="23"/>
        <v>3540</v>
      </c>
    </row>
    <row r="457" spans="1:8" x14ac:dyDescent="0.25">
      <c r="A457" s="1">
        <v>44387</v>
      </c>
      <c r="B457" t="s">
        <v>472</v>
      </c>
      <c r="C457" t="s">
        <v>11</v>
      </c>
      <c r="D457">
        <v>1425.69</v>
      </c>
      <c r="E457" t="s">
        <v>7</v>
      </c>
      <c r="F457" s="2" t="str">
        <f t="shared" si="21"/>
        <v>Jul</v>
      </c>
      <c r="G457" s="2">
        <f t="shared" si="22"/>
        <v>2021</v>
      </c>
      <c r="H457" s="2">
        <f t="shared" si="23"/>
        <v>-1425.69</v>
      </c>
    </row>
    <row r="458" spans="1:8" x14ac:dyDescent="0.25">
      <c r="A458" s="1">
        <v>44388</v>
      </c>
      <c r="B458" t="s">
        <v>473</v>
      </c>
      <c r="C458" t="s">
        <v>11</v>
      </c>
      <c r="D458">
        <v>577.28</v>
      </c>
      <c r="E458" t="s">
        <v>7</v>
      </c>
      <c r="F458" s="2" t="str">
        <f t="shared" si="21"/>
        <v>Jul</v>
      </c>
      <c r="G458" s="2">
        <f t="shared" si="22"/>
        <v>2021</v>
      </c>
      <c r="H458" s="2">
        <f t="shared" si="23"/>
        <v>-577.28</v>
      </c>
    </row>
    <row r="459" spans="1:8" x14ac:dyDescent="0.25">
      <c r="A459" s="1">
        <v>44388</v>
      </c>
      <c r="B459" t="s">
        <v>474</v>
      </c>
      <c r="C459" t="s">
        <v>35</v>
      </c>
      <c r="D459">
        <v>904.15</v>
      </c>
      <c r="E459" t="s">
        <v>7</v>
      </c>
      <c r="F459" s="2" t="str">
        <f t="shared" si="21"/>
        <v>Jul</v>
      </c>
      <c r="G459" s="2">
        <f t="shared" si="22"/>
        <v>2021</v>
      </c>
      <c r="H459" s="2">
        <f t="shared" si="23"/>
        <v>-904.15</v>
      </c>
    </row>
    <row r="460" spans="1:8" x14ac:dyDescent="0.25">
      <c r="A460" s="1">
        <v>44388</v>
      </c>
      <c r="B460" t="s">
        <v>475</v>
      </c>
      <c r="C460" t="s">
        <v>17</v>
      </c>
      <c r="D460">
        <v>192.51</v>
      </c>
      <c r="E460" t="s">
        <v>7</v>
      </c>
      <c r="F460" s="2" t="str">
        <f t="shared" si="21"/>
        <v>Jul</v>
      </c>
      <c r="G460" s="2">
        <f t="shared" si="22"/>
        <v>2021</v>
      </c>
      <c r="H460" s="2">
        <f t="shared" si="23"/>
        <v>-192.51</v>
      </c>
    </row>
    <row r="461" spans="1:8" x14ac:dyDescent="0.25">
      <c r="A461" s="1">
        <v>44389</v>
      </c>
      <c r="B461" t="s">
        <v>476</v>
      </c>
      <c r="C461" t="s">
        <v>27</v>
      </c>
      <c r="D461">
        <v>1770.41</v>
      </c>
      <c r="E461" t="s">
        <v>7</v>
      </c>
      <c r="F461" s="2" t="str">
        <f t="shared" si="21"/>
        <v>Jul</v>
      </c>
      <c r="G461" s="2">
        <f t="shared" si="22"/>
        <v>2021</v>
      </c>
      <c r="H461" s="2">
        <f t="shared" si="23"/>
        <v>-1770.41</v>
      </c>
    </row>
    <row r="462" spans="1:8" x14ac:dyDescent="0.25">
      <c r="A462" s="1">
        <v>44390</v>
      </c>
      <c r="B462" t="s">
        <v>477</v>
      </c>
      <c r="C462" t="s">
        <v>17</v>
      </c>
      <c r="D462">
        <v>115.98</v>
      </c>
      <c r="E462" t="s">
        <v>7</v>
      </c>
      <c r="F462" s="2" t="str">
        <f t="shared" si="21"/>
        <v>Jul</v>
      </c>
      <c r="G462" s="2">
        <f t="shared" si="22"/>
        <v>2021</v>
      </c>
      <c r="H462" s="2">
        <f t="shared" si="23"/>
        <v>-115.98</v>
      </c>
    </row>
    <row r="463" spans="1:8" x14ac:dyDescent="0.25">
      <c r="A463" s="1">
        <v>44391</v>
      </c>
      <c r="B463" t="s">
        <v>478</v>
      </c>
      <c r="C463" t="s">
        <v>22</v>
      </c>
      <c r="D463">
        <v>778.47</v>
      </c>
      <c r="E463" t="s">
        <v>7</v>
      </c>
      <c r="F463" s="2" t="str">
        <f t="shared" si="21"/>
        <v>Jul</v>
      </c>
      <c r="G463" s="2">
        <f t="shared" si="22"/>
        <v>2021</v>
      </c>
      <c r="H463" s="2">
        <f t="shared" si="23"/>
        <v>-778.47</v>
      </c>
    </row>
    <row r="464" spans="1:8" x14ac:dyDescent="0.25">
      <c r="A464" s="1">
        <v>44392</v>
      </c>
      <c r="B464" t="s">
        <v>479</v>
      </c>
      <c r="C464" t="s">
        <v>13</v>
      </c>
      <c r="D464">
        <v>730</v>
      </c>
      <c r="E464" t="s">
        <v>14</v>
      </c>
      <c r="F464" s="2" t="str">
        <f t="shared" si="21"/>
        <v>Jul</v>
      </c>
      <c r="G464" s="2">
        <f t="shared" si="22"/>
        <v>2021</v>
      </c>
      <c r="H464" s="2">
        <f t="shared" si="23"/>
        <v>730</v>
      </c>
    </row>
    <row r="465" spans="1:8" x14ac:dyDescent="0.25">
      <c r="A465" s="1">
        <v>44396</v>
      </c>
      <c r="B465" t="s">
        <v>480</v>
      </c>
      <c r="C465" t="s">
        <v>11</v>
      </c>
      <c r="D465">
        <v>1679.96</v>
      </c>
      <c r="E465" t="s">
        <v>7</v>
      </c>
      <c r="F465" s="2" t="str">
        <f t="shared" si="21"/>
        <v>Jul</v>
      </c>
      <c r="G465" s="2">
        <f t="shared" si="22"/>
        <v>2021</v>
      </c>
      <c r="H465" s="2">
        <f t="shared" si="23"/>
        <v>-1679.96</v>
      </c>
    </row>
    <row r="466" spans="1:8" x14ac:dyDescent="0.25">
      <c r="A466" s="1">
        <v>44396</v>
      </c>
      <c r="B466" t="s">
        <v>481</v>
      </c>
      <c r="C466" t="s">
        <v>9</v>
      </c>
      <c r="D466">
        <v>283.82</v>
      </c>
      <c r="E466" t="s">
        <v>7</v>
      </c>
      <c r="F466" s="2" t="str">
        <f t="shared" si="21"/>
        <v>Jul</v>
      </c>
      <c r="G466" s="2">
        <f t="shared" si="22"/>
        <v>2021</v>
      </c>
      <c r="H466" s="2">
        <f t="shared" si="23"/>
        <v>-283.82</v>
      </c>
    </row>
    <row r="467" spans="1:8" x14ac:dyDescent="0.25">
      <c r="A467" s="1">
        <v>44400</v>
      </c>
      <c r="B467" t="s">
        <v>482</v>
      </c>
      <c r="C467" t="s">
        <v>27</v>
      </c>
      <c r="D467">
        <v>1395.18</v>
      </c>
      <c r="E467" t="s">
        <v>7</v>
      </c>
      <c r="F467" s="2" t="str">
        <f t="shared" si="21"/>
        <v>Jul</v>
      </c>
      <c r="G467" s="2">
        <f t="shared" si="22"/>
        <v>2021</v>
      </c>
      <c r="H467" s="2">
        <f t="shared" si="23"/>
        <v>-1395.18</v>
      </c>
    </row>
    <row r="468" spans="1:8" x14ac:dyDescent="0.25">
      <c r="A468" s="1">
        <v>44400</v>
      </c>
      <c r="B468" t="s">
        <v>483</v>
      </c>
      <c r="C468" t="s">
        <v>20</v>
      </c>
      <c r="D468">
        <v>4174</v>
      </c>
      <c r="E468" t="s">
        <v>14</v>
      </c>
      <c r="F468" s="2" t="str">
        <f t="shared" si="21"/>
        <v>Jul</v>
      </c>
      <c r="G468" s="2">
        <f t="shared" si="22"/>
        <v>2021</v>
      </c>
      <c r="H468" s="2">
        <f t="shared" si="23"/>
        <v>4174</v>
      </c>
    </row>
    <row r="469" spans="1:8" x14ac:dyDescent="0.25">
      <c r="A469" s="1">
        <v>44401</v>
      </c>
      <c r="B469" t="s">
        <v>484</v>
      </c>
      <c r="C469" t="s">
        <v>11</v>
      </c>
      <c r="D469">
        <v>47.82</v>
      </c>
      <c r="E469" t="s">
        <v>7</v>
      </c>
      <c r="F469" s="2" t="str">
        <f t="shared" si="21"/>
        <v>Jul</v>
      </c>
      <c r="G469" s="2">
        <f t="shared" si="22"/>
        <v>2021</v>
      </c>
      <c r="H469" s="2">
        <f t="shared" si="23"/>
        <v>-47.82</v>
      </c>
    </row>
    <row r="470" spans="1:8" x14ac:dyDescent="0.25">
      <c r="A470" s="1">
        <v>44405</v>
      </c>
      <c r="B470" t="s">
        <v>485</v>
      </c>
      <c r="C470" t="s">
        <v>9</v>
      </c>
      <c r="D470">
        <v>1102.1199999999999</v>
      </c>
      <c r="E470" t="s">
        <v>7</v>
      </c>
      <c r="F470" s="2" t="str">
        <f t="shared" si="21"/>
        <v>Jul</v>
      </c>
      <c r="G470" s="2">
        <f t="shared" si="22"/>
        <v>2021</v>
      </c>
      <c r="H470" s="2">
        <f t="shared" si="23"/>
        <v>-1102.1199999999999</v>
      </c>
    </row>
    <row r="471" spans="1:8" x14ac:dyDescent="0.25">
      <c r="A471" s="1">
        <v>44406</v>
      </c>
      <c r="B471" t="s">
        <v>486</v>
      </c>
      <c r="C471" t="s">
        <v>17</v>
      </c>
      <c r="D471">
        <v>231.26</v>
      </c>
      <c r="E471" t="s">
        <v>7</v>
      </c>
      <c r="F471" s="2" t="str">
        <f t="shared" si="21"/>
        <v>Jul</v>
      </c>
      <c r="G471" s="2">
        <f t="shared" si="22"/>
        <v>2021</v>
      </c>
      <c r="H471" s="2">
        <f t="shared" si="23"/>
        <v>-231.26</v>
      </c>
    </row>
    <row r="472" spans="1:8" x14ac:dyDescent="0.25">
      <c r="A472" s="1">
        <v>44410</v>
      </c>
      <c r="B472" t="s">
        <v>487</v>
      </c>
      <c r="C472" t="s">
        <v>35</v>
      </c>
      <c r="D472">
        <v>252.48</v>
      </c>
      <c r="E472" t="s">
        <v>7</v>
      </c>
      <c r="F472" s="2" t="str">
        <f t="shared" si="21"/>
        <v>Aug</v>
      </c>
      <c r="G472" s="2">
        <f t="shared" si="22"/>
        <v>2021</v>
      </c>
      <c r="H472" s="2">
        <f t="shared" si="23"/>
        <v>-252.48</v>
      </c>
    </row>
    <row r="473" spans="1:8" x14ac:dyDescent="0.25">
      <c r="A473" s="1">
        <v>44414</v>
      </c>
      <c r="B473" t="s">
        <v>488</v>
      </c>
      <c r="C473" t="s">
        <v>27</v>
      </c>
      <c r="D473">
        <v>134.99</v>
      </c>
      <c r="E473" t="s">
        <v>7</v>
      </c>
      <c r="F473" s="2" t="str">
        <f t="shared" si="21"/>
        <v>Aug</v>
      </c>
      <c r="G473" s="2">
        <f t="shared" si="22"/>
        <v>2021</v>
      </c>
      <c r="H473" s="2">
        <f t="shared" si="23"/>
        <v>-134.99</v>
      </c>
    </row>
    <row r="474" spans="1:8" x14ac:dyDescent="0.25">
      <c r="A474" s="1">
        <v>44415</v>
      </c>
      <c r="B474" t="s">
        <v>489</v>
      </c>
      <c r="C474" t="s">
        <v>27</v>
      </c>
      <c r="D474">
        <v>1197.51</v>
      </c>
      <c r="E474" t="s">
        <v>7</v>
      </c>
      <c r="F474" s="2" t="str">
        <f t="shared" si="21"/>
        <v>Aug</v>
      </c>
      <c r="G474" s="2">
        <f t="shared" si="22"/>
        <v>2021</v>
      </c>
      <c r="H474" s="2">
        <f t="shared" si="23"/>
        <v>-1197.51</v>
      </c>
    </row>
    <row r="475" spans="1:8" x14ac:dyDescent="0.25">
      <c r="A475" s="1">
        <v>44415</v>
      </c>
      <c r="B475" t="s">
        <v>490</v>
      </c>
      <c r="C475" t="s">
        <v>13</v>
      </c>
      <c r="D475">
        <v>1676</v>
      </c>
      <c r="E475" t="s">
        <v>14</v>
      </c>
      <c r="F475" s="2" t="str">
        <f t="shared" si="21"/>
        <v>Aug</v>
      </c>
      <c r="G475" s="2">
        <f t="shared" si="22"/>
        <v>2021</v>
      </c>
      <c r="H475" s="2">
        <f t="shared" si="23"/>
        <v>1676</v>
      </c>
    </row>
    <row r="476" spans="1:8" x14ac:dyDescent="0.25">
      <c r="A476" s="1">
        <v>44416</v>
      </c>
      <c r="B476" t="s">
        <v>491</v>
      </c>
      <c r="C476" t="s">
        <v>6</v>
      </c>
      <c r="D476">
        <v>1233.47</v>
      </c>
      <c r="E476" t="s">
        <v>7</v>
      </c>
      <c r="F476" s="2" t="str">
        <f t="shared" si="21"/>
        <v>Aug</v>
      </c>
      <c r="G476" s="2">
        <f t="shared" si="22"/>
        <v>2021</v>
      </c>
      <c r="H476" s="2">
        <f t="shared" si="23"/>
        <v>-1233.47</v>
      </c>
    </row>
    <row r="477" spans="1:8" x14ac:dyDescent="0.25">
      <c r="A477" s="1">
        <v>44417</v>
      </c>
      <c r="B477" t="s">
        <v>492</v>
      </c>
      <c r="C477" t="s">
        <v>17</v>
      </c>
      <c r="D477">
        <v>382.75</v>
      </c>
      <c r="E477" t="s">
        <v>7</v>
      </c>
      <c r="F477" s="2" t="str">
        <f t="shared" si="21"/>
        <v>Aug</v>
      </c>
      <c r="G477" s="2">
        <f t="shared" si="22"/>
        <v>2021</v>
      </c>
      <c r="H477" s="2">
        <f t="shared" si="23"/>
        <v>-382.75</v>
      </c>
    </row>
    <row r="478" spans="1:8" x14ac:dyDescent="0.25">
      <c r="A478" s="1">
        <v>44419</v>
      </c>
      <c r="B478" t="s">
        <v>493</v>
      </c>
      <c r="C478" t="s">
        <v>25</v>
      </c>
      <c r="D478">
        <v>144.68</v>
      </c>
      <c r="E478" t="s">
        <v>7</v>
      </c>
      <c r="F478" s="2" t="str">
        <f t="shared" si="21"/>
        <v>Aug</v>
      </c>
      <c r="G478" s="2">
        <f t="shared" si="22"/>
        <v>2021</v>
      </c>
      <c r="H478" s="2">
        <f t="shared" si="23"/>
        <v>-144.68</v>
      </c>
    </row>
    <row r="479" spans="1:8" x14ac:dyDescent="0.25">
      <c r="A479" s="1">
        <v>44421</v>
      </c>
      <c r="B479" t="s">
        <v>494</v>
      </c>
      <c r="C479" t="s">
        <v>6</v>
      </c>
      <c r="D479">
        <v>787</v>
      </c>
      <c r="E479" t="s">
        <v>7</v>
      </c>
      <c r="F479" s="2" t="str">
        <f t="shared" si="21"/>
        <v>Aug</v>
      </c>
      <c r="G479" s="2">
        <f t="shared" si="22"/>
        <v>2021</v>
      </c>
      <c r="H479" s="2">
        <f t="shared" si="23"/>
        <v>-787</v>
      </c>
    </row>
    <row r="480" spans="1:8" x14ac:dyDescent="0.25">
      <c r="A480" s="1">
        <v>44421</v>
      </c>
      <c r="B480" t="s">
        <v>495</v>
      </c>
      <c r="C480" t="s">
        <v>17</v>
      </c>
      <c r="D480">
        <v>1962.27</v>
      </c>
      <c r="E480" t="s">
        <v>7</v>
      </c>
      <c r="F480" s="2" t="str">
        <f t="shared" si="21"/>
        <v>Aug</v>
      </c>
      <c r="G480" s="2">
        <f t="shared" si="22"/>
        <v>2021</v>
      </c>
      <c r="H480" s="2">
        <f t="shared" si="23"/>
        <v>-1962.27</v>
      </c>
    </row>
    <row r="481" spans="1:8" x14ac:dyDescent="0.25">
      <c r="A481" s="1">
        <v>44423</v>
      </c>
      <c r="B481" t="s">
        <v>496</v>
      </c>
      <c r="C481" t="s">
        <v>6</v>
      </c>
      <c r="D481">
        <v>720.62</v>
      </c>
      <c r="E481" t="s">
        <v>7</v>
      </c>
      <c r="F481" s="2" t="str">
        <f t="shared" si="21"/>
        <v>Aug</v>
      </c>
      <c r="G481" s="2">
        <f t="shared" si="22"/>
        <v>2021</v>
      </c>
      <c r="H481" s="2">
        <f t="shared" si="23"/>
        <v>-720.62</v>
      </c>
    </row>
    <row r="482" spans="1:8" x14ac:dyDescent="0.25">
      <c r="A482" s="1">
        <v>44424</v>
      </c>
      <c r="B482" t="s">
        <v>497</v>
      </c>
      <c r="C482" t="s">
        <v>13</v>
      </c>
      <c r="D482">
        <v>1349</v>
      </c>
      <c r="E482" t="s">
        <v>14</v>
      </c>
      <c r="F482" s="2" t="str">
        <f t="shared" si="21"/>
        <v>Aug</v>
      </c>
      <c r="G482" s="2">
        <f t="shared" si="22"/>
        <v>2021</v>
      </c>
      <c r="H482" s="2">
        <f t="shared" si="23"/>
        <v>1349</v>
      </c>
    </row>
    <row r="483" spans="1:8" x14ac:dyDescent="0.25">
      <c r="A483" s="1">
        <v>44426</v>
      </c>
      <c r="B483" t="s">
        <v>498</v>
      </c>
      <c r="C483" t="s">
        <v>25</v>
      </c>
      <c r="D483">
        <v>275.49</v>
      </c>
      <c r="E483" t="s">
        <v>7</v>
      </c>
      <c r="F483" s="2" t="str">
        <f t="shared" si="21"/>
        <v>Aug</v>
      </c>
      <c r="G483" s="2">
        <f t="shared" si="22"/>
        <v>2021</v>
      </c>
      <c r="H483" s="2">
        <f t="shared" si="23"/>
        <v>-275.49</v>
      </c>
    </row>
    <row r="484" spans="1:8" x14ac:dyDescent="0.25">
      <c r="A484" s="1">
        <v>44428</v>
      </c>
      <c r="B484" t="s">
        <v>499</v>
      </c>
      <c r="C484" t="s">
        <v>25</v>
      </c>
      <c r="D484">
        <v>1628.88</v>
      </c>
      <c r="E484" t="s">
        <v>7</v>
      </c>
      <c r="F484" s="2" t="str">
        <f t="shared" si="21"/>
        <v>Aug</v>
      </c>
      <c r="G484" s="2">
        <f t="shared" si="22"/>
        <v>2021</v>
      </c>
      <c r="H484" s="2">
        <f t="shared" si="23"/>
        <v>-1628.88</v>
      </c>
    </row>
    <row r="485" spans="1:8" x14ac:dyDescent="0.25">
      <c r="A485" s="1">
        <v>44429</v>
      </c>
      <c r="B485" t="s">
        <v>500</v>
      </c>
      <c r="C485" t="s">
        <v>20</v>
      </c>
      <c r="D485">
        <v>4420</v>
      </c>
      <c r="E485" t="s">
        <v>14</v>
      </c>
      <c r="F485" s="2" t="str">
        <f t="shared" si="21"/>
        <v>Aug</v>
      </c>
      <c r="G485" s="2">
        <f t="shared" si="22"/>
        <v>2021</v>
      </c>
      <c r="H485" s="2">
        <f t="shared" si="23"/>
        <v>4420</v>
      </c>
    </row>
    <row r="486" spans="1:8" x14ac:dyDescent="0.25">
      <c r="A486" s="1">
        <v>44429</v>
      </c>
      <c r="B486" t="s">
        <v>501</v>
      </c>
      <c r="C486" t="s">
        <v>9</v>
      </c>
      <c r="D486">
        <v>135.57</v>
      </c>
      <c r="E486" t="s">
        <v>7</v>
      </c>
      <c r="F486" s="2" t="str">
        <f t="shared" si="21"/>
        <v>Aug</v>
      </c>
      <c r="G486" s="2">
        <f t="shared" si="22"/>
        <v>2021</v>
      </c>
      <c r="H486" s="2">
        <f t="shared" si="23"/>
        <v>-135.57</v>
      </c>
    </row>
    <row r="487" spans="1:8" x14ac:dyDescent="0.25">
      <c r="A487" s="1">
        <v>44430</v>
      </c>
      <c r="B487" t="s">
        <v>502</v>
      </c>
      <c r="C487" t="s">
        <v>27</v>
      </c>
      <c r="D487">
        <v>83.6</v>
      </c>
      <c r="E487" t="s">
        <v>7</v>
      </c>
      <c r="F487" s="2" t="str">
        <f t="shared" si="21"/>
        <v>Aug</v>
      </c>
      <c r="G487" s="2">
        <f t="shared" si="22"/>
        <v>2021</v>
      </c>
      <c r="H487" s="2">
        <f t="shared" si="23"/>
        <v>-83.6</v>
      </c>
    </row>
    <row r="488" spans="1:8" x14ac:dyDescent="0.25">
      <c r="A488" s="1">
        <v>44431</v>
      </c>
      <c r="B488" t="s">
        <v>503</v>
      </c>
      <c r="C488" t="s">
        <v>22</v>
      </c>
      <c r="D488">
        <v>1772.72</v>
      </c>
      <c r="E488" t="s">
        <v>7</v>
      </c>
      <c r="F488" s="2" t="str">
        <f t="shared" si="21"/>
        <v>Aug</v>
      </c>
      <c r="G488" s="2">
        <f t="shared" si="22"/>
        <v>2021</v>
      </c>
      <c r="H488" s="2">
        <f t="shared" si="23"/>
        <v>-1772.72</v>
      </c>
    </row>
    <row r="489" spans="1:8" x14ac:dyDescent="0.25">
      <c r="A489" s="1">
        <v>44432</v>
      </c>
      <c r="B489" t="s">
        <v>504</v>
      </c>
      <c r="C489" t="s">
        <v>35</v>
      </c>
      <c r="D489">
        <v>1035.6099999999999</v>
      </c>
      <c r="E489" t="s">
        <v>7</v>
      </c>
      <c r="F489" s="2" t="str">
        <f t="shared" si="21"/>
        <v>Aug</v>
      </c>
      <c r="G489" s="2">
        <f t="shared" si="22"/>
        <v>2021</v>
      </c>
      <c r="H489" s="2">
        <f t="shared" si="23"/>
        <v>-1035.6099999999999</v>
      </c>
    </row>
    <row r="490" spans="1:8" x14ac:dyDescent="0.25">
      <c r="A490" s="1">
        <v>44433</v>
      </c>
      <c r="B490" t="s">
        <v>505</v>
      </c>
      <c r="C490" t="s">
        <v>27</v>
      </c>
      <c r="D490">
        <v>514.09</v>
      </c>
      <c r="E490" t="s">
        <v>7</v>
      </c>
      <c r="F490" s="2" t="str">
        <f t="shared" si="21"/>
        <v>Aug</v>
      </c>
      <c r="G490" s="2">
        <f t="shared" si="22"/>
        <v>2021</v>
      </c>
      <c r="H490" s="2">
        <f t="shared" si="23"/>
        <v>-514.09</v>
      </c>
    </row>
    <row r="491" spans="1:8" x14ac:dyDescent="0.25">
      <c r="A491" s="1">
        <v>44435</v>
      </c>
      <c r="B491" t="s">
        <v>506</v>
      </c>
      <c r="C491" t="s">
        <v>22</v>
      </c>
      <c r="D491">
        <v>579.36</v>
      </c>
      <c r="E491" t="s">
        <v>7</v>
      </c>
      <c r="F491" s="2" t="str">
        <f t="shared" si="21"/>
        <v>Aug</v>
      </c>
      <c r="G491" s="2">
        <f t="shared" si="22"/>
        <v>2021</v>
      </c>
      <c r="H491" s="2">
        <f t="shared" si="23"/>
        <v>-579.36</v>
      </c>
    </row>
    <row r="492" spans="1:8" x14ac:dyDescent="0.25">
      <c r="A492" s="1">
        <v>44437</v>
      </c>
      <c r="B492" t="s">
        <v>507</v>
      </c>
      <c r="C492" t="s">
        <v>6</v>
      </c>
      <c r="D492">
        <v>1732.94</v>
      </c>
      <c r="E492" t="s">
        <v>7</v>
      </c>
      <c r="F492" s="2" t="str">
        <f t="shared" si="21"/>
        <v>Aug</v>
      </c>
      <c r="G492" s="2">
        <f t="shared" si="22"/>
        <v>2021</v>
      </c>
      <c r="H492" s="2">
        <f t="shared" si="23"/>
        <v>-1732.94</v>
      </c>
    </row>
    <row r="493" spans="1:8" x14ac:dyDescent="0.25">
      <c r="A493" s="1">
        <v>44444</v>
      </c>
      <c r="B493" t="s">
        <v>508</v>
      </c>
      <c r="C493" t="s">
        <v>11</v>
      </c>
      <c r="D493">
        <v>1600.69</v>
      </c>
      <c r="E493" t="s">
        <v>7</v>
      </c>
      <c r="F493" s="2" t="str">
        <f t="shared" si="21"/>
        <v>Sep</v>
      </c>
      <c r="G493" s="2">
        <f t="shared" si="22"/>
        <v>2021</v>
      </c>
      <c r="H493" s="2">
        <f t="shared" si="23"/>
        <v>-1600.69</v>
      </c>
    </row>
    <row r="494" spans="1:8" x14ac:dyDescent="0.25">
      <c r="A494" s="1">
        <v>44445</v>
      </c>
      <c r="B494" t="s">
        <v>509</v>
      </c>
      <c r="C494" t="s">
        <v>17</v>
      </c>
      <c r="D494">
        <v>1489.18</v>
      </c>
      <c r="E494" t="s">
        <v>7</v>
      </c>
      <c r="F494" s="2" t="str">
        <f t="shared" si="21"/>
        <v>Sep</v>
      </c>
      <c r="G494" s="2">
        <f t="shared" si="22"/>
        <v>2021</v>
      </c>
      <c r="H494" s="2">
        <f t="shared" si="23"/>
        <v>-1489.18</v>
      </c>
    </row>
    <row r="495" spans="1:8" x14ac:dyDescent="0.25">
      <c r="A495" s="1">
        <v>44448</v>
      </c>
      <c r="B495" t="s">
        <v>510</v>
      </c>
      <c r="C495" t="s">
        <v>17</v>
      </c>
      <c r="D495">
        <v>684.68</v>
      </c>
      <c r="E495" t="s">
        <v>7</v>
      </c>
      <c r="F495" s="2" t="str">
        <f t="shared" si="21"/>
        <v>Sep</v>
      </c>
      <c r="G495" s="2">
        <f t="shared" si="22"/>
        <v>2021</v>
      </c>
      <c r="H495" s="2">
        <f t="shared" si="23"/>
        <v>-684.68</v>
      </c>
    </row>
    <row r="496" spans="1:8" x14ac:dyDescent="0.25">
      <c r="A496" s="1">
        <v>44448</v>
      </c>
      <c r="B496" t="s">
        <v>511</v>
      </c>
      <c r="C496" t="s">
        <v>20</v>
      </c>
      <c r="D496">
        <v>3509</v>
      </c>
      <c r="E496" t="s">
        <v>14</v>
      </c>
      <c r="F496" s="2" t="str">
        <f t="shared" si="21"/>
        <v>Sep</v>
      </c>
      <c r="G496" s="2">
        <f t="shared" si="22"/>
        <v>2021</v>
      </c>
      <c r="H496" s="2">
        <f t="shared" si="23"/>
        <v>3509</v>
      </c>
    </row>
    <row r="497" spans="1:8" x14ac:dyDescent="0.25">
      <c r="A497" s="1">
        <v>44448</v>
      </c>
      <c r="B497" t="s">
        <v>512</v>
      </c>
      <c r="C497" t="s">
        <v>35</v>
      </c>
      <c r="D497">
        <v>1604.28</v>
      </c>
      <c r="E497" t="s">
        <v>7</v>
      </c>
      <c r="F497" s="2" t="str">
        <f t="shared" si="21"/>
        <v>Sep</v>
      </c>
      <c r="G497" s="2">
        <f t="shared" si="22"/>
        <v>2021</v>
      </c>
      <c r="H497" s="2">
        <f t="shared" si="23"/>
        <v>-1604.28</v>
      </c>
    </row>
    <row r="498" spans="1:8" x14ac:dyDescent="0.25">
      <c r="A498" s="1">
        <v>44449</v>
      </c>
      <c r="B498" t="s">
        <v>513</v>
      </c>
      <c r="C498" t="s">
        <v>11</v>
      </c>
      <c r="D498">
        <v>866.91</v>
      </c>
      <c r="E498" t="s">
        <v>7</v>
      </c>
      <c r="F498" s="2" t="str">
        <f t="shared" si="21"/>
        <v>Sep</v>
      </c>
      <c r="G498" s="2">
        <f t="shared" si="22"/>
        <v>2021</v>
      </c>
      <c r="H498" s="2">
        <f t="shared" si="23"/>
        <v>-866.91</v>
      </c>
    </row>
    <row r="499" spans="1:8" x14ac:dyDescent="0.25">
      <c r="A499" s="1">
        <v>44450</v>
      </c>
      <c r="B499" t="s">
        <v>514</v>
      </c>
      <c r="C499" t="s">
        <v>9</v>
      </c>
      <c r="D499">
        <v>1095.49</v>
      </c>
      <c r="E499" t="s">
        <v>7</v>
      </c>
      <c r="F499" s="2" t="str">
        <f t="shared" si="21"/>
        <v>Sep</v>
      </c>
      <c r="G499" s="2">
        <f t="shared" si="22"/>
        <v>2021</v>
      </c>
      <c r="H499" s="2">
        <f t="shared" si="23"/>
        <v>-1095.49</v>
      </c>
    </row>
    <row r="500" spans="1:8" x14ac:dyDescent="0.25">
      <c r="A500" s="1">
        <v>44450</v>
      </c>
      <c r="B500" t="s">
        <v>515</v>
      </c>
      <c r="C500" t="s">
        <v>11</v>
      </c>
      <c r="D500">
        <v>662.56</v>
      </c>
      <c r="E500" t="s">
        <v>7</v>
      </c>
      <c r="F500" s="2" t="str">
        <f t="shared" si="21"/>
        <v>Sep</v>
      </c>
      <c r="G500" s="2">
        <f t="shared" si="22"/>
        <v>2021</v>
      </c>
      <c r="H500" s="2">
        <f t="shared" si="23"/>
        <v>-662.56</v>
      </c>
    </row>
    <row r="501" spans="1:8" x14ac:dyDescent="0.25">
      <c r="A501" s="1">
        <v>44450</v>
      </c>
      <c r="B501" t="s">
        <v>516</v>
      </c>
      <c r="C501" t="s">
        <v>27</v>
      </c>
      <c r="D501">
        <v>1209.22</v>
      </c>
      <c r="E501" t="s">
        <v>7</v>
      </c>
      <c r="F501" s="2" t="str">
        <f t="shared" si="21"/>
        <v>Sep</v>
      </c>
      <c r="G501" s="2">
        <f t="shared" si="22"/>
        <v>2021</v>
      </c>
      <c r="H501" s="2">
        <f t="shared" si="23"/>
        <v>-1209.22</v>
      </c>
    </row>
    <row r="502" spans="1:8" x14ac:dyDescent="0.25">
      <c r="A502" s="1">
        <v>44450</v>
      </c>
      <c r="B502" t="s">
        <v>517</v>
      </c>
      <c r="C502" t="s">
        <v>27</v>
      </c>
      <c r="D502">
        <v>709.58</v>
      </c>
      <c r="E502" t="s">
        <v>7</v>
      </c>
      <c r="F502" s="2" t="str">
        <f t="shared" si="21"/>
        <v>Sep</v>
      </c>
      <c r="G502" s="2">
        <f t="shared" si="22"/>
        <v>2021</v>
      </c>
      <c r="H502" s="2">
        <f t="shared" si="23"/>
        <v>-709.58</v>
      </c>
    </row>
    <row r="503" spans="1:8" x14ac:dyDescent="0.25">
      <c r="A503" s="1">
        <v>44454</v>
      </c>
      <c r="B503" t="s">
        <v>518</v>
      </c>
      <c r="C503" t="s">
        <v>20</v>
      </c>
      <c r="D503">
        <v>4063</v>
      </c>
      <c r="E503" t="s">
        <v>14</v>
      </c>
      <c r="F503" s="2" t="str">
        <f t="shared" si="21"/>
        <v>Sep</v>
      </c>
      <c r="G503" s="2">
        <f t="shared" si="22"/>
        <v>2021</v>
      </c>
      <c r="H503" s="2">
        <f t="shared" si="23"/>
        <v>4063</v>
      </c>
    </row>
    <row r="504" spans="1:8" x14ac:dyDescent="0.25">
      <c r="A504" s="1">
        <v>44455</v>
      </c>
      <c r="B504" t="s">
        <v>519</v>
      </c>
      <c r="C504" t="s">
        <v>6</v>
      </c>
      <c r="D504">
        <v>159.33000000000001</v>
      </c>
      <c r="E504" t="s">
        <v>7</v>
      </c>
      <c r="F504" s="2" t="str">
        <f t="shared" si="21"/>
        <v>Sep</v>
      </c>
      <c r="G504" s="2">
        <f t="shared" si="22"/>
        <v>2021</v>
      </c>
      <c r="H504" s="2">
        <f t="shared" si="23"/>
        <v>-159.33000000000001</v>
      </c>
    </row>
    <row r="505" spans="1:8" x14ac:dyDescent="0.25">
      <c r="A505" s="1">
        <v>44455</v>
      </c>
      <c r="B505" t="s">
        <v>520</v>
      </c>
      <c r="C505" t="s">
        <v>25</v>
      </c>
      <c r="D505">
        <v>1031.04</v>
      </c>
      <c r="E505" t="s">
        <v>7</v>
      </c>
      <c r="F505" s="2" t="str">
        <f t="shared" si="21"/>
        <v>Sep</v>
      </c>
      <c r="G505" s="2">
        <f t="shared" si="22"/>
        <v>2021</v>
      </c>
      <c r="H505" s="2">
        <f t="shared" si="23"/>
        <v>-1031.04</v>
      </c>
    </row>
    <row r="506" spans="1:8" x14ac:dyDescent="0.25">
      <c r="A506" s="1">
        <v>44456</v>
      </c>
      <c r="B506" t="s">
        <v>521</v>
      </c>
      <c r="C506" t="s">
        <v>9</v>
      </c>
      <c r="D506">
        <v>1906.05</v>
      </c>
      <c r="E506" t="s">
        <v>7</v>
      </c>
      <c r="F506" s="2" t="str">
        <f t="shared" si="21"/>
        <v>Sep</v>
      </c>
      <c r="G506" s="2">
        <f t="shared" si="22"/>
        <v>2021</v>
      </c>
      <c r="H506" s="2">
        <f t="shared" si="23"/>
        <v>-1906.05</v>
      </c>
    </row>
    <row r="507" spans="1:8" x14ac:dyDescent="0.25">
      <c r="A507" s="1">
        <v>44456</v>
      </c>
      <c r="B507" t="s">
        <v>522</v>
      </c>
      <c r="C507" t="s">
        <v>20</v>
      </c>
      <c r="D507">
        <v>785</v>
      </c>
      <c r="E507" t="s">
        <v>14</v>
      </c>
      <c r="F507" s="2" t="str">
        <f t="shared" si="21"/>
        <v>Sep</v>
      </c>
      <c r="G507" s="2">
        <f t="shared" si="22"/>
        <v>2021</v>
      </c>
      <c r="H507" s="2">
        <f t="shared" si="23"/>
        <v>785</v>
      </c>
    </row>
    <row r="508" spans="1:8" x14ac:dyDescent="0.25">
      <c r="A508" s="1">
        <v>44458</v>
      </c>
      <c r="B508" t="s">
        <v>523</v>
      </c>
      <c r="C508" t="s">
        <v>13</v>
      </c>
      <c r="D508">
        <v>3500</v>
      </c>
      <c r="E508" t="s">
        <v>14</v>
      </c>
      <c r="F508" s="2" t="str">
        <f t="shared" si="21"/>
        <v>Sep</v>
      </c>
      <c r="G508" s="2">
        <f t="shared" si="22"/>
        <v>2021</v>
      </c>
      <c r="H508" s="2">
        <f t="shared" si="23"/>
        <v>3500</v>
      </c>
    </row>
    <row r="509" spans="1:8" x14ac:dyDescent="0.25">
      <c r="A509" s="1">
        <v>44458</v>
      </c>
      <c r="B509" t="s">
        <v>524</v>
      </c>
      <c r="C509" t="s">
        <v>6</v>
      </c>
      <c r="D509">
        <v>1214.1400000000001</v>
      </c>
      <c r="E509" t="s">
        <v>7</v>
      </c>
      <c r="F509" s="2" t="str">
        <f t="shared" si="21"/>
        <v>Sep</v>
      </c>
      <c r="G509" s="2">
        <f t="shared" si="22"/>
        <v>2021</v>
      </c>
      <c r="H509" s="2">
        <f t="shared" si="23"/>
        <v>-1214.1400000000001</v>
      </c>
    </row>
    <row r="510" spans="1:8" x14ac:dyDescent="0.25">
      <c r="A510" s="1">
        <v>44458</v>
      </c>
      <c r="B510" t="s">
        <v>525</v>
      </c>
      <c r="C510" t="s">
        <v>25</v>
      </c>
      <c r="D510">
        <v>750.31</v>
      </c>
      <c r="E510" t="s">
        <v>7</v>
      </c>
      <c r="F510" s="2" t="str">
        <f t="shared" si="21"/>
        <v>Sep</v>
      </c>
      <c r="G510" s="2">
        <f t="shared" si="22"/>
        <v>2021</v>
      </c>
      <c r="H510" s="2">
        <f t="shared" si="23"/>
        <v>-750.31</v>
      </c>
    </row>
    <row r="511" spans="1:8" x14ac:dyDescent="0.25">
      <c r="A511" s="1">
        <v>44458</v>
      </c>
      <c r="B511" t="s">
        <v>526</v>
      </c>
      <c r="C511" t="s">
        <v>9</v>
      </c>
      <c r="D511">
        <v>1063.6300000000001</v>
      </c>
      <c r="E511" t="s">
        <v>7</v>
      </c>
      <c r="F511" s="2" t="str">
        <f t="shared" si="21"/>
        <v>Sep</v>
      </c>
      <c r="G511" s="2">
        <f t="shared" si="22"/>
        <v>2021</v>
      </c>
      <c r="H511" s="2">
        <f t="shared" si="23"/>
        <v>-1063.6300000000001</v>
      </c>
    </row>
    <row r="512" spans="1:8" x14ac:dyDescent="0.25">
      <c r="A512" s="1">
        <v>44459</v>
      </c>
      <c r="B512" t="s">
        <v>527</v>
      </c>
      <c r="C512" t="s">
        <v>35</v>
      </c>
      <c r="D512">
        <v>506.73</v>
      </c>
      <c r="E512" t="s">
        <v>7</v>
      </c>
      <c r="F512" s="2" t="str">
        <f t="shared" si="21"/>
        <v>Sep</v>
      </c>
      <c r="G512" s="2">
        <f t="shared" si="22"/>
        <v>2021</v>
      </c>
      <c r="H512" s="2">
        <f t="shared" si="23"/>
        <v>-506.73</v>
      </c>
    </row>
    <row r="513" spans="1:8" x14ac:dyDescent="0.25">
      <c r="A513" s="1">
        <v>44460</v>
      </c>
      <c r="B513" t="s">
        <v>528</v>
      </c>
      <c r="C513" t="s">
        <v>13</v>
      </c>
      <c r="D513">
        <v>4588</v>
      </c>
      <c r="E513" t="s">
        <v>14</v>
      </c>
      <c r="F513" s="2" t="str">
        <f t="shared" si="21"/>
        <v>Sep</v>
      </c>
      <c r="G513" s="2">
        <f t="shared" si="22"/>
        <v>2021</v>
      </c>
      <c r="H513" s="2">
        <f t="shared" si="23"/>
        <v>4588</v>
      </c>
    </row>
    <row r="514" spans="1:8" x14ac:dyDescent="0.25">
      <c r="A514" s="1">
        <v>44467</v>
      </c>
      <c r="B514" t="s">
        <v>529</v>
      </c>
      <c r="C514" t="s">
        <v>11</v>
      </c>
      <c r="D514">
        <v>530.94000000000005</v>
      </c>
      <c r="E514" t="s">
        <v>7</v>
      </c>
      <c r="F514" s="2" t="str">
        <f t="shared" ref="F514:F577" si="24">TEXT(A514,"mmm")</f>
        <v>Sep</v>
      </c>
      <c r="G514" s="2">
        <f t="shared" ref="G514:G577" si="25">YEAR(A514)</f>
        <v>2021</v>
      </c>
      <c r="H514" s="2">
        <f t="shared" ref="H514:H577" si="26">IF(E514="Income",D514,-D514)</f>
        <v>-530.94000000000005</v>
      </c>
    </row>
    <row r="515" spans="1:8" x14ac:dyDescent="0.25">
      <c r="A515" s="1">
        <v>44470</v>
      </c>
      <c r="B515" t="s">
        <v>530</v>
      </c>
      <c r="C515" t="s">
        <v>27</v>
      </c>
      <c r="D515">
        <v>437</v>
      </c>
      <c r="E515" t="s">
        <v>7</v>
      </c>
      <c r="F515" s="2" t="str">
        <f t="shared" si="24"/>
        <v>Oct</v>
      </c>
      <c r="G515" s="2">
        <f t="shared" si="25"/>
        <v>2021</v>
      </c>
      <c r="H515" s="2">
        <f t="shared" si="26"/>
        <v>-437</v>
      </c>
    </row>
    <row r="516" spans="1:8" x14ac:dyDescent="0.25">
      <c r="A516" s="1">
        <v>44476</v>
      </c>
      <c r="B516" t="s">
        <v>531</v>
      </c>
      <c r="C516" t="s">
        <v>27</v>
      </c>
      <c r="D516">
        <v>408.35</v>
      </c>
      <c r="E516" t="s">
        <v>7</v>
      </c>
      <c r="F516" s="2" t="str">
        <f t="shared" si="24"/>
        <v>Oct</v>
      </c>
      <c r="G516" s="2">
        <f t="shared" si="25"/>
        <v>2021</v>
      </c>
      <c r="H516" s="2">
        <f t="shared" si="26"/>
        <v>-408.35</v>
      </c>
    </row>
    <row r="517" spans="1:8" x14ac:dyDescent="0.25">
      <c r="A517" s="1">
        <v>44477</v>
      </c>
      <c r="B517" t="s">
        <v>532</v>
      </c>
      <c r="C517" t="s">
        <v>13</v>
      </c>
      <c r="D517">
        <v>4203</v>
      </c>
      <c r="E517" t="s">
        <v>14</v>
      </c>
      <c r="F517" s="2" t="str">
        <f t="shared" si="24"/>
        <v>Oct</v>
      </c>
      <c r="G517" s="2">
        <f t="shared" si="25"/>
        <v>2021</v>
      </c>
      <c r="H517" s="2">
        <f t="shared" si="26"/>
        <v>4203</v>
      </c>
    </row>
    <row r="518" spans="1:8" x14ac:dyDescent="0.25">
      <c r="A518" s="1">
        <v>44482</v>
      </c>
      <c r="B518" t="s">
        <v>533</v>
      </c>
      <c r="C518" t="s">
        <v>20</v>
      </c>
      <c r="D518">
        <v>1219</v>
      </c>
      <c r="E518" t="s">
        <v>14</v>
      </c>
      <c r="F518" s="2" t="str">
        <f t="shared" si="24"/>
        <v>Oct</v>
      </c>
      <c r="G518" s="2">
        <f t="shared" si="25"/>
        <v>2021</v>
      </c>
      <c r="H518" s="2">
        <f t="shared" si="26"/>
        <v>1219</v>
      </c>
    </row>
    <row r="519" spans="1:8" x14ac:dyDescent="0.25">
      <c r="A519" s="1">
        <v>44482</v>
      </c>
      <c r="B519" t="s">
        <v>534</v>
      </c>
      <c r="C519" t="s">
        <v>25</v>
      </c>
      <c r="D519">
        <v>1339</v>
      </c>
      <c r="E519" t="s">
        <v>7</v>
      </c>
      <c r="F519" s="2" t="str">
        <f t="shared" si="24"/>
        <v>Oct</v>
      </c>
      <c r="G519" s="2">
        <f t="shared" si="25"/>
        <v>2021</v>
      </c>
      <c r="H519" s="2">
        <f t="shared" si="26"/>
        <v>-1339</v>
      </c>
    </row>
    <row r="520" spans="1:8" x14ac:dyDescent="0.25">
      <c r="A520" s="1">
        <v>44482</v>
      </c>
      <c r="B520" t="s">
        <v>535</v>
      </c>
      <c r="C520" t="s">
        <v>35</v>
      </c>
      <c r="D520">
        <v>1783.75</v>
      </c>
      <c r="E520" t="s">
        <v>7</v>
      </c>
      <c r="F520" s="2" t="str">
        <f t="shared" si="24"/>
        <v>Oct</v>
      </c>
      <c r="G520" s="2">
        <f t="shared" si="25"/>
        <v>2021</v>
      </c>
      <c r="H520" s="2">
        <f t="shared" si="26"/>
        <v>-1783.75</v>
      </c>
    </row>
    <row r="521" spans="1:8" x14ac:dyDescent="0.25">
      <c r="A521" s="1">
        <v>44485</v>
      </c>
      <c r="B521" t="s">
        <v>536</v>
      </c>
      <c r="C521" t="s">
        <v>9</v>
      </c>
      <c r="D521">
        <v>1589.46</v>
      </c>
      <c r="E521" t="s">
        <v>7</v>
      </c>
      <c r="F521" s="2" t="str">
        <f t="shared" si="24"/>
        <v>Oct</v>
      </c>
      <c r="G521" s="2">
        <f t="shared" si="25"/>
        <v>2021</v>
      </c>
      <c r="H521" s="2">
        <f t="shared" si="26"/>
        <v>-1589.46</v>
      </c>
    </row>
    <row r="522" spans="1:8" x14ac:dyDescent="0.25">
      <c r="A522" s="1">
        <v>44489</v>
      </c>
      <c r="B522" t="s">
        <v>537</v>
      </c>
      <c r="C522" t="s">
        <v>11</v>
      </c>
      <c r="D522">
        <v>1970.41</v>
      </c>
      <c r="E522" t="s">
        <v>7</v>
      </c>
      <c r="F522" s="2" t="str">
        <f t="shared" si="24"/>
        <v>Oct</v>
      </c>
      <c r="G522" s="2">
        <f t="shared" si="25"/>
        <v>2021</v>
      </c>
      <c r="H522" s="2">
        <f t="shared" si="26"/>
        <v>-1970.41</v>
      </c>
    </row>
    <row r="523" spans="1:8" x14ac:dyDescent="0.25">
      <c r="A523" s="1">
        <v>44490</v>
      </c>
      <c r="B523" t="s">
        <v>538</v>
      </c>
      <c r="C523" t="s">
        <v>22</v>
      </c>
      <c r="D523">
        <v>1582.84</v>
      </c>
      <c r="E523" t="s">
        <v>7</v>
      </c>
      <c r="F523" s="2" t="str">
        <f t="shared" si="24"/>
        <v>Oct</v>
      </c>
      <c r="G523" s="2">
        <f t="shared" si="25"/>
        <v>2021</v>
      </c>
      <c r="H523" s="2">
        <f t="shared" si="26"/>
        <v>-1582.84</v>
      </c>
    </row>
    <row r="524" spans="1:8" x14ac:dyDescent="0.25">
      <c r="A524" s="1">
        <v>44491</v>
      </c>
      <c r="B524" t="s">
        <v>539</v>
      </c>
      <c r="C524" t="s">
        <v>20</v>
      </c>
      <c r="D524">
        <v>4328</v>
      </c>
      <c r="E524" t="s">
        <v>14</v>
      </c>
      <c r="F524" s="2" t="str">
        <f t="shared" si="24"/>
        <v>Oct</v>
      </c>
      <c r="G524" s="2">
        <f t="shared" si="25"/>
        <v>2021</v>
      </c>
      <c r="H524" s="2">
        <f t="shared" si="26"/>
        <v>4328</v>
      </c>
    </row>
    <row r="525" spans="1:8" x14ac:dyDescent="0.25">
      <c r="A525" s="1">
        <v>44493</v>
      </c>
      <c r="B525" t="s">
        <v>540</v>
      </c>
      <c r="C525" t="s">
        <v>9</v>
      </c>
      <c r="D525">
        <v>1227.78</v>
      </c>
      <c r="E525" t="s">
        <v>7</v>
      </c>
      <c r="F525" s="2" t="str">
        <f t="shared" si="24"/>
        <v>Oct</v>
      </c>
      <c r="G525" s="2">
        <f t="shared" si="25"/>
        <v>2021</v>
      </c>
      <c r="H525" s="2">
        <f t="shared" si="26"/>
        <v>-1227.78</v>
      </c>
    </row>
    <row r="526" spans="1:8" x14ac:dyDescent="0.25">
      <c r="A526" s="1">
        <v>44493</v>
      </c>
      <c r="B526" t="s">
        <v>541</v>
      </c>
      <c r="C526" t="s">
        <v>20</v>
      </c>
      <c r="D526">
        <v>3761</v>
      </c>
      <c r="E526" t="s">
        <v>14</v>
      </c>
      <c r="F526" s="2" t="str">
        <f t="shared" si="24"/>
        <v>Oct</v>
      </c>
      <c r="G526" s="2">
        <f t="shared" si="25"/>
        <v>2021</v>
      </c>
      <c r="H526" s="2">
        <f t="shared" si="26"/>
        <v>3761</v>
      </c>
    </row>
    <row r="527" spans="1:8" x14ac:dyDescent="0.25">
      <c r="A527" s="1">
        <v>44496</v>
      </c>
      <c r="B527" t="s">
        <v>542</v>
      </c>
      <c r="C527" t="s">
        <v>27</v>
      </c>
      <c r="D527">
        <v>1056.1300000000001</v>
      </c>
      <c r="E527" t="s">
        <v>7</v>
      </c>
      <c r="F527" s="2" t="str">
        <f t="shared" si="24"/>
        <v>Oct</v>
      </c>
      <c r="G527" s="2">
        <f t="shared" si="25"/>
        <v>2021</v>
      </c>
      <c r="H527" s="2">
        <f t="shared" si="26"/>
        <v>-1056.1300000000001</v>
      </c>
    </row>
    <row r="528" spans="1:8" x14ac:dyDescent="0.25">
      <c r="A528" s="1">
        <v>44496</v>
      </c>
      <c r="B528" t="s">
        <v>543</v>
      </c>
      <c r="C528" t="s">
        <v>11</v>
      </c>
      <c r="D528">
        <v>259.39999999999998</v>
      </c>
      <c r="E528" t="s">
        <v>7</v>
      </c>
      <c r="F528" s="2" t="str">
        <f t="shared" si="24"/>
        <v>Oct</v>
      </c>
      <c r="G528" s="2">
        <f t="shared" si="25"/>
        <v>2021</v>
      </c>
      <c r="H528" s="2">
        <f t="shared" si="26"/>
        <v>-259.39999999999998</v>
      </c>
    </row>
    <row r="529" spans="1:8" x14ac:dyDescent="0.25">
      <c r="A529" s="1">
        <v>44499</v>
      </c>
      <c r="B529" t="s">
        <v>544</v>
      </c>
      <c r="C529" t="s">
        <v>11</v>
      </c>
      <c r="D529">
        <v>905.45</v>
      </c>
      <c r="E529" t="s">
        <v>7</v>
      </c>
      <c r="F529" s="2" t="str">
        <f t="shared" si="24"/>
        <v>Oct</v>
      </c>
      <c r="G529" s="2">
        <f t="shared" si="25"/>
        <v>2021</v>
      </c>
      <c r="H529" s="2">
        <f t="shared" si="26"/>
        <v>-905.45</v>
      </c>
    </row>
    <row r="530" spans="1:8" x14ac:dyDescent="0.25">
      <c r="A530" s="1">
        <v>44503</v>
      </c>
      <c r="B530" t="s">
        <v>545</v>
      </c>
      <c r="C530" t="s">
        <v>25</v>
      </c>
      <c r="D530">
        <v>265.39</v>
      </c>
      <c r="E530" t="s">
        <v>7</v>
      </c>
      <c r="F530" s="2" t="str">
        <f t="shared" si="24"/>
        <v>Nov</v>
      </c>
      <c r="G530" s="2">
        <f t="shared" si="25"/>
        <v>2021</v>
      </c>
      <c r="H530" s="2">
        <f t="shared" si="26"/>
        <v>-265.39</v>
      </c>
    </row>
    <row r="531" spans="1:8" x14ac:dyDescent="0.25">
      <c r="A531" s="1">
        <v>44504</v>
      </c>
      <c r="B531" t="s">
        <v>546</v>
      </c>
      <c r="C531" t="s">
        <v>9</v>
      </c>
      <c r="D531">
        <v>1537.89</v>
      </c>
      <c r="E531" t="s">
        <v>7</v>
      </c>
      <c r="F531" s="2" t="str">
        <f t="shared" si="24"/>
        <v>Nov</v>
      </c>
      <c r="G531" s="2">
        <f t="shared" si="25"/>
        <v>2021</v>
      </c>
      <c r="H531" s="2">
        <f t="shared" si="26"/>
        <v>-1537.89</v>
      </c>
    </row>
    <row r="532" spans="1:8" x14ac:dyDescent="0.25">
      <c r="A532" s="1">
        <v>44505</v>
      </c>
      <c r="B532" t="s">
        <v>547</v>
      </c>
      <c r="C532" t="s">
        <v>13</v>
      </c>
      <c r="D532">
        <v>1517</v>
      </c>
      <c r="E532" t="s">
        <v>14</v>
      </c>
      <c r="F532" s="2" t="str">
        <f t="shared" si="24"/>
        <v>Nov</v>
      </c>
      <c r="G532" s="2">
        <f t="shared" si="25"/>
        <v>2021</v>
      </c>
      <c r="H532" s="2">
        <f t="shared" si="26"/>
        <v>1517</v>
      </c>
    </row>
    <row r="533" spans="1:8" x14ac:dyDescent="0.25">
      <c r="A533" s="1">
        <v>44505</v>
      </c>
      <c r="B533" t="s">
        <v>548</v>
      </c>
      <c r="C533" t="s">
        <v>35</v>
      </c>
      <c r="D533">
        <v>337.67</v>
      </c>
      <c r="E533" t="s">
        <v>7</v>
      </c>
      <c r="F533" s="2" t="str">
        <f t="shared" si="24"/>
        <v>Nov</v>
      </c>
      <c r="G533" s="2">
        <f t="shared" si="25"/>
        <v>2021</v>
      </c>
      <c r="H533" s="2">
        <f t="shared" si="26"/>
        <v>-337.67</v>
      </c>
    </row>
    <row r="534" spans="1:8" x14ac:dyDescent="0.25">
      <c r="A534" s="1">
        <v>44506</v>
      </c>
      <c r="B534" t="s">
        <v>549</v>
      </c>
      <c r="C534" t="s">
        <v>22</v>
      </c>
      <c r="D534">
        <v>698.59</v>
      </c>
      <c r="E534" t="s">
        <v>7</v>
      </c>
      <c r="F534" s="2" t="str">
        <f t="shared" si="24"/>
        <v>Nov</v>
      </c>
      <c r="G534" s="2">
        <f t="shared" si="25"/>
        <v>2021</v>
      </c>
      <c r="H534" s="2">
        <f t="shared" si="26"/>
        <v>-698.59</v>
      </c>
    </row>
    <row r="535" spans="1:8" x14ac:dyDescent="0.25">
      <c r="A535" s="1">
        <v>44507</v>
      </c>
      <c r="B535" t="s">
        <v>550</v>
      </c>
      <c r="C535" t="s">
        <v>35</v>
      </c>
      <c r="D535">
        <v>1693.41</v>
      </c>
      <c r="E535" t="s">
        <v>7</v>
      </c>
      <c r="F535" s="2" t="str">
        <f t="shared" si="24"/>
        <v>Nov</v>
      </c>
      <c r="G535" s="2">
        <f t="shared" si="25"/>
        <v>2021</v>
      </c>
      <c r="H535" s="2">
        <f t="shared" si="26"/>
        <v>-1693.41</v>
      </c>
    </row>
    <row r="536" spans="1:8" x14ac:dyDescent="0.25">
      <c r="A536" s="1">
        <v>44510</v>
      </c>
      <c r="B536" t="s">
        <v>551</v>
      </c>
      <c r="C536" t="s">
        <v>35</v>
      </c>
      <c r="D536">
        <v>259.08999999999997</v>
      </c>
      <c r="E536" t="s">
        <v>7</v>
      </c>
      <c r="F536" s="2" t="str">
        <f t="shared" si="24"/>
        <v>Nov</v>
      </c>
      <c r="G536" s="2">
        <f t="shared" si="25"/>
        <v>2021</v>
      </c>
      <c r="H536" s="2">
        <f t="shared" si="26"/>
        <v>-259.08999999999997</v>
      </c>
    </row>
    <row r="537" spans="1:8" x14ac:dyDescent="0.25">
      <c r="A537" s="1">
        <v>44515</v>
      </c>
      <c r="B537" t="s">
        <v>552</v>
      </c>
      <c r="C537" t="s">
        <v>11</v>
      </c>
      <c r="D537">
        <v>1010.12</v>
      </c>
      <c r="E537" t="s">
        <v>7</v>
      </c>
      <c r="F537" s="2" t="str">
        <f t="shared" si="24"/>
        <v>Nov</v>
      </c>
      <c r="G537" s="2">
        <f t="shared" si="25"/>
        <v>2021</v>
      </c>
      <c r="H537" s="2">
        <f t="shared" si="26"/>
        <v>-1010.12</v>
      </c>
    </row>
    <row r="538" spans="1:8" x14ac:dyDescent="0.25">
      <c r="A538" s="1">
        <v>44516</v>
      </c>
      <c r="B538" t="s">
        <v>553</v>
      </c>
      <c r="C538" t="s">
        <v>13</v>
      </c>
      <c r="D538">
        <v>1902</v>
      </c>
      <c r="E538" t="s">
        <v>14</v>
      </c>
      <c r="F538" s="2" t="str">
        <f t="shared" si="24"/>
        <v>Nov</v>
      </c>
      <c r="G538" s="2">
        <f t="shared" si="25"/>
        <v>2021</v>
      </c>
      <c r="H538" s="2">
        <f t="shared" si="26"/>
        <v>1902</v>
      </c>
    </row>
    <row r="539" spans="1:8" x14ac:dyDescent="0.25">
      <c r="A539" s="1">
        <v>44517</v>
      </c>
      <c r="B539" t="s">
        <v>554</v>
      </c>
      <c r="C539" t="s">
        <v>25</v>
      </c>
      <c r="D539">
        <v>1686.63</v>
      </c>
      <c r="E539" t="s">
        <v>7</v>
      </c>
      <c r="F539" s="2" t="str">
        <f t="shared" si="24"/>
        <v>Nov</v>
      </c>
      <c r="G539" s="2">
        <f t="shared" si="25"/>
        <v>2021</v>
      </c>
      <c r="H539" s="2">
        <f t="shared" si="26"/>
        <v>-1686.63</v>
      </c>
    </row>
    <row r="540" spans="1:8" x14ac:dyDescent="0.25">
      <c r="A540" s="1">
        <v>44518</v>
      </c>
      <c r="B540" t="s">
        <v>555</v>
      </c>
      <c r="C540" t="s">
        <v>6</v>
      </c>
      <c r="D540">
        <v>171.63</v>
      </c>
      <c r="E540" t="s">
        <v>7</v>
      </c>
      <c r="F540" s="2" t="str">
        <f t="shared" si="24"/>
        <v>Nov</v>
      </c>
      <c r="G540" s="2">
        <f t="shared" si="25"/>
        <v>2021</v>
      </c>
      <c r="H540" s="2">
        <f t="shared" si="26"/>
        <v>-171.63</v>
      </c>
    </row>
    <row r="541" spans="1:8" x14ac:dyDescent="0.25">
      <c r="A541" s="1">
        <v>44518</v>
      </c>
      <c r="B541" t="s">
        <v>556</v>
      </c>
      <c r="C541" t="s">
        <v>35</v>
      </c>
      <c r="D541">
        <v>1305.75</v>
      </c>
      <c r="E541" t="s">
        <v>7</v>
      </c>
      <c r="F541" s="2" t="str">
        <f t="shared" si="24"/>
        <v>Nov</v>
      </c>
      <c r="G541" s="2">
        <f t="shared" si="25"/>
        <v>2021</v>
      </c>
      <c r="H541" s="2">
        <f t="shared" si="26"/>
        <v>-1305.75</v>
      </c>
    </row>
    <row r="542" spans="1:8" x14ac:dyDescent="0.25">
      <c r="A542" s="1">
        <v>44519</v>
      </c>
      <c r="B542" t="s">
        <v>557</v>
      </c>
      <c r="C542" t="s">
        <v>17</v>
      </c>
      <c r="D542">
        <v>1240.04</v>
      </c>
      <c r="E542" t="s">
        <v>7</v>
      </c>
      <c r="F542" s="2" t="str">
        <f t="shared" si="24"/>
        <v>Nov</v>
      </c>
      <c r="G542" s="2">
        <f t="shared" si="25"/>
        <v>2021</v>
      </c>
      <c r="H542" s="2">
        <f t="shared" si="26"/>
        <v>-1240.04</v>
      </c>
    </row>
    <row r="543" spans="1:8" x14ac:dyDescent="0.25">
      <c r="A543" s="1">
        <v>44521</v>
      </c>
      <c r="B543" t="s">
        <v>558</v>
      </c>
      <c r="C543" t="s">
        <v>20</v>
      </c>
      <c r="D543">
        <v>2974</v>
      </c>
      <c r="E543" t="s">
        <v>14</v>
      </c>
      <c r="F543" s="2" t="str">
        <f t="shared" si="24"/>
        <v>Nov</v>
      </c>
      <c r="G543" s="2">
        <f t="shared" si="25"/>
        <v>2021</v>
      </c>
      <c r="H543" s="2">
        <f t="shared" si="26"/>
        <v>2974</v>
      </c>
    </row>
    <row r="544" spans="1:8" x14ac:dyDescent="0.25">
      <c r="A544" s="1">
        <v>44521</v>
      </c>
      <c r="B544" t="s">
        <v>559</v>
      </c>
      <c r="C544" t="s">
        <v>17</v>
      </c>
      <c r="D544">
        <v>601.89</v>
      </c>
      <c r="E544" t="s">
        <v>7</v>
      </c>
      <c r="F544" s="2" t="str">
        <f t="shared" si="24"/>
        <v>Nov</v>
      </c>
      <c r="G544" s="2">
        <f t="shared" si="25"/>
        <v>2021</v>
      </c>
      <c r="H544" s="2">
        <f t="shared" si="26"/>
        <v>-601.89</v>
      </c>
    </row>
    <row r="545" spans="1:8" x14ac:dyDescent="0.25">
      <c r="A545" s="1">
        <v>44521</v>
      </c>
      <c r="B545" t="s">
        <v>560</v>
      </c>
      <c r="C545" t="s">
        <v>13</v>
      </c>
      <c r="D545">
        <v>1794</v>
      </c>
      <c r="E545" t="s">
        <v>14</v>
      </c>
      <c r="F545" s="2" t="str">
        <f t="shared" si="24"/>
        <v>Nov</v>
      </c>
      <c r="G545" s="2">
        <f t="shared" si="25"/>
        <v>2021</v>
      </c>
      <c r="H545" s="2">
        <f t="shared" si="26"/>
        <v>1794</v>
      </c>
    </row>
    <row r="546" spans="1:8" x14ac:dyDescent="0.25">
      <c r="A546" s="1">
        <v>44523</v>
      </c>
      <c r="B546" t="s">
        <v>561</v>
      </c>
      <c r="C546" t="s">
        <v>27</v>
      </c>
      <c r="D546">
        <v>934.24</v>
      </c>
      <c r="E546" t="s">
        <v>7</v>
      </c>
      <c r="F546" s="2" t="str">
        <f t="shared" si="24"/>
        <v>Nov</v>
      </c>
      <c r="G546" s="2">
        <f t="shared" si="25"/>
        <v>2021</v>
      </c>
      <c r="H546" s="2">
        <f t="shared" si="26"/>
        <v>-934.24</v>
      </c>
    </row>
    <row r="547" spans="1:8" x14ac:dyDescent="0.25">
      <c r="A547" s="1">
        <v>44526</v>
      </c>
      <c r="B547" t="s">
        <v>562</v>
      </c>
      <c r="C547" t="s">
        <v>9</v>
      </c>
      <c r="D547">
        <v>632.04</v>
      </c>
      <c r="E547" t="s">
        <v>7</v>
      </c>
      <c r="F547" s="2" t="str">
        <f t="shared" si="24"/>
        <v>Nov</v>
      </c>
      <c r="G547" s="2">
        <f t="shared" si="25"/>
        <v>2021</v>
      </c>
      <c r="H547" s="2">
        <f t="shared" si="26"/>
        <v>-632.04</v>
      </c>
    </row>
    <row r="548" spans="1:8" x14ac:dyDescent="0.25">
      <c r="A548" s="1">
        <v>44527</v>
      </c>
      <c r="B548" t="s">
        <v>563</v>
      </c>
      <c r="C548" t="s">
        <v>25</v>
      </c>
      <c r="D548">
        <v>1950.99</v>
      </c>
      <c r="E548" t="s">
        <v>7</v>
      </c>
      <c r="F548" s="2" t="str">
        <f t="shared" si="24"/>
        <v>Nov</v>
      </c>
      <c r="G548" s="2">
        <f t="shared" si="25"/>
        <v>2021</v>
      </c>
      <c r="H548" s="2">
        <f t="shared" si="26"/>
        <v>-1950.99</v>
      </c>
    </row>
    <row r="549" spans="1:8" x14ac:dyDescent="0.25">
      <c r="A549" s="1">
        <v>44528</v>
      </c>
      <c r="B549" t="s">
        <v>564</v>
      </c>
      <c r="C549" t="s">
        <v>20</v>
      </c>
      <c r="D549">
        <v>4718</v>
      </c>
      <c r="E549" t="s">
        <v>14</v>
      </c>
      <c r="F549" s="2" t="str">
        <f t="shared" si="24"/>
        <v>Nov</v>
      </c>
      <c r="G549" s="2">
        <f t="shared" si="25"/>
        <v>2021</v>
      </c>
      <c r="H549" s="2">
        <f t="shared" si="26"/>
        <v>4718</v>
      </c>
    </row>
    <row r="550" spans="1:8" x14ac:dyDescent="0.25">
      <c r="A550" s="1">
        <v>44531</v>
      </c>
      <c r="B550" t="s">
        <v>565</v>
      </c>
      <c r="C550" t="s">
        <v>25</v>
      </c>
      <c r="D550">
        <v>491.06</v>
      </c>
      <c r="E550" t="s">
        <v>7</v>
      </c>
      <c r="F550" s="2" t="str">
        <f t="shared" si="24"/>
        <v>Dec</v>
      </c>
      <c r="G550" s="2">
        <f t="shared" si="25"/>
        <v>2021</v>
      </c>
      <c r="H550" s="2">
        <f t="shared" si="26"/>
        <v>-491.06</v>
      </c>
    </row>
    <row r="551" spans="1:8" x14ac:dyDescent="0.25">
      <c r="A551" s="1">
        <v>44532</v>
      </c>
      <c r="B551" t="s">
        <v>566</v>
      </c>
      <c r="C551" t="s">
        <v>20</v>
      </c>
      <c r="D551">
        <v>2530</v>
      </c>
      <c r="E551" t="s">
        <v>14</v>
      </c>
      <c r="F551" s="2" t="str">
        <f t="shared" si="24"/>
        <v>Dec</v>
      </c>
      <c r="G551" s="2">
        <f t="shared" si="25"/>
        <v>2021</v>
      </c>
      <c r="H551" s="2">
        <f t="shared" si="26"/>
        <v>2530</v>
      </c>
    </row>
    <row r="552" spans="1:8" x14ac:dyDescent="0.25">
      <c r="A552" s="1">
        <v>44533</v>
      </c>
      <c r="B552" t="s">
        <v>567</v>
      </c>
      <c r="C552" t="s">
        <v>13</v>
      </c>
      <c r="D552">
        <v>2877</v>
      </c>
      <c r="E552" t="s">
        <v>14</v>
      </c>
      <c r="F552" s="2" t="str">
        <f t="shared" si="24"/>
        <v>Dec</v>
      </c>
      <c r="G552" s="2">
        <f t="shared" si="25"/>
        <v>2021</v>
      </c>
      <c r="H552" s="2">
        <f t="shared" si="26"/>
        <v>2877</v>
      </c>
    </row>
    <row r="553" spans="1:8" x14ac:dyDescent="0.25">
      <c r="A553" s="1">
        <v>44533</v>
      </c>
      <c r="B553" t="s">
        <v>568</v>
      </c>
      <c r="C553" t="s">
        <v>17</v>
      </c>
      <c r="D553">
        <v>504.06</v>
      </c>
      <c r="E553" t="s">
        <v>7</v>
      </c>
      <c r="F553" s="2" t="str">
        <f t="shared" si="24"/>
        <v>Dec</v>
      </c>
      <c r="G553" s="2">
        <f t="shared" si="25"/>
        <v>2021</v>
      </c>
      <c r="H553" s="2">
        <f t="shared" si="26"/>
        <v>-504.06</v>
      </c>
    </row>
    <row r="554" spans="1:8" x14ac:dyDescent="0.25">
      <c r="A554" s="1">
        <v>44538</v>
      </c>
      <c r="B554" t="s">
        <v>569</v>
      </c>
      <c r="C554" t="s">
        <v>9</v>
      </c>
      <c r="D554">
        <v>1628.82</v>
      </c>
      <c r="E554" t="s">
        <v>7</v>
      </c>
      <c r="F554" s="2" t="str">
        <f t="shared" si="24"/>
        <v>Dec</v>
      </c>
      <c r="G554" s="2">
        <f t="shared" si="25"/>
        <v>2021</v>
      </c>
      <c r="H554" s="2">
        <f t="shared" si="26"/>
        <v>-1628.82</v>
      </c>
    </row>
    <row r="555" spans="1:8" x14ac:dyDescent="0.25">
      <c r="A555" s="1">
        <v>44539</v>
      </c>
      <c r="B555" t="s">
        <v>570</v>
      </c>
      <c r="C555" t="s">
        <v>25</v>
      </c>
      <c r="D555">
        <v>387.77</v>
      </c>
      <c r="E555" t="s">
        <v>7</v>
      </c>
      <c r="F555" s="2" t="str">
        <f t="shared" si="24"/>
        <v>Dec</v>
      </c>
      <c r="G555" s="2">
        <f t="shared" si="25"/>
        <v>2021</v>
      </c>
      <c r="H555" s="2">
        <f t="shared" si="26"/>
        <v>-387.77</v>
      </c>
    </row>
    <row r="556" spans="1:8" x14ac:dyDescent="0.25">
      <c r="A556" s="1">
        <v>44539</v>
      </c>
      <c r="B556" t="s">
        <v>571</v>
      </c>
      <c r="C556" t="s">
        <v>20</v>
      </c>
      <c r="D556">
        <v>4585</v>
      </c>
      <c r="E556" t="s">
        <v>14</v>
      </c>
      <c r="F556" s="2" t="str">
        <f t="shared" si="24"/>
        <v>Dec</v>
      </c>
      <c r="G556" s="2">
        <f t="shared" si="25"/>
        <v>2021</v>
      </c>
      <c r="H556" s="2">
        <f t="shared" si="26"/>
        <v>4585</v>
      </c>
    </row>
    <row r="557" spans="1:8" x14ac:dyDescent="0.25">
      <c r="A557" s="1">
        <v>44541</v>
      </c>
      <c r="B557" t="s">
        <v>572</v>
      </c>
      <c r="C557" t="s">
        <v>27</v>
      </c>
      <c r="D557">
        <v>56.12</v>
      </c>
      <c r="E557" t="s">
        <v>7</v>
      </c>
      <c r="F557" s="2" t="str">
        <f t="shared" si="24"/>
        <v>Dec</v>
      </c>
      <c r="G557" s="2">
        <f t="shared" si="25"/>
        <v>2021</v>
      </c>
      <c r="H557" s="2">
        <f t="shared" si="26"/>
        <v>-56.12</v>
      </c>
    </row>
    <row r="558" spans="1:8" x14ac:dyDescent="0.25">
      <c r="A558" s="1">
        <v>44542</v>
      </c>
      <c r="B558" t="s">
        <v>573</v>
      </c>
      <c r="C558" t="s">
        <v>27</v>
      </c>
      <c r="D558">
        <v>1933.71</v>
      </c>
      <c r="E558" t="s">
        <v>7</v>
      </c>
      <c r="F558" s="2" t="str">
        <f t="shared" si="24"/>
        <v>Dec</v>
      </c>
      <c r="G558" s="2">
        <f t="shared" si="25"/>
        <v>2021</v>
      </c>
      <c r="H558" s="2">
        <f t="shared" si="26"/>
        <v>-1933.71</v>
      </c>
    </row>
    <row r="559" spans="1:8" x14ac:dyDescent="0.25">
      <c r="A559" s="1">
        <v>44543</v>
      </c>
      <c r="B559" t="s">
        <v>574</v>
      </c>
      <c r="C559" t="s">
        <v>25</v>
      </c>
      <c r="D559">
        <v>106.83</v>
      </c>
      <c r="E559" t="s">
        <v>7</v>
      </c>
      <c r="F559" s="2" t="str">
        <f t="shared" si="24"/>
        <v>Dec</v>
      </c>
      <c r="G559" s="2">
        <f t="shared" si="25"/>
        <v>2021</v>
      </c>
      <c r="H559" s="2">
        <f t="shared" si="26"/>
        <v>-106.83</v>
      </c>
    </row>
    <row r="560" spans="1:8" x14ac:dyDescent="0.25">
      <c r="A560" s="1">
        <v>44543</v>
      </c>
      <c r="B560" t="s">
        <v>575</v>
      </c>
      <c r="C560" t="s">
        <v>27</v>
      </c>
      <c r="D560">
        <v>578.64</v>
      </c>
      <c r="E560" t="s">
        <v>7</v>
      </c>
      <c r="F560" s="2" t="str">
        <f t="shared" si="24"/>
        <v>Dec</v>
      </c>
      <c r="G560" s="2">
        <f t="shared" si="25"/>
        <v>2021</v>
      </c>
      <c r="H560" s="2">
        <f t="shared" si="26"/>
        <v>-578.64</v>
      </c>
    </row>
    <row r="561" spans="1:8" x14ac:dyDescent="0.25">
      <c r="A561" s="1">
        <v>44545</v>
      </c>
      <c r="B561" t="s">
        <v>576</v>
      </c>
      <c r="C561" t="s">
        <v>13</v>
      </c>
      <c r="D561">
        <v>4030</v>
      </c>
      <c r="E561" t="s">
        <v>14</v>
      </c>
      <c r="F561" s="2" t="str">
        <f t="shared" si="24"/>
        <v>Dec</v>
      </c>
      <c r="G561" s="2">
        <f t="shared" si="25"/>
        <v>2021</v>
      </c>
      <c r="H561" s="2">
        <f t="shared" si="26"/>
        <v>4030</v>
      </c>
    </row>
    <row r="562" spans="1:8" x14ac:dyDescent="0.25">
      <c r="A562" s="1">
        <v>44545</v>
      </c>
      <c r="B562" t="s">
        <v>577</v>
      </c>
      <c r="C562" t="s">
        <v>20</v>
      </c>
      <c r="D562">
        <v>3496</v>
      </c>
      <c r="E562" t="s">
        <v>14</v>
      </c>
      <c r="F562" s="2" t="str">
        <f t="shared" si="24"/>
        <v>Dec</v>
      </c>
      <c r="G562" s="2">
        <f t="shared" si="25"/>
        <v>2021</v>
      </c>
      <c r="H562" s="2">
        <f t="shared" si="26"/>
        <v>3496</v>
      </c>
    </row>
    <row r="563" spans="1:8" x14ac:dyDescent="0.25">
      <c r="A563" s="1">
        <v>44546</v>
      </c>
      <c r="B563" t="s">
        <v>578</v>
      </c>
      <c r="C563" t="s">
        <v>25</v>
      </c>
      <c r="D563">
        <v>100.03</v>
      </c>
      <c r="E563" t="s">
        <v>7</v>
      </c>
      <c r="F563" s="2" t="str">
        <f t="shared" si="24"/>
        <v>Dec</v>
      </c>
      <c r="G563" s="2">
        <f t="shared" si="25"/>
        <v>2021</v>
      </c>
      <c r="H563" s="2">
        <f t="shared" si="26"/>
        <v>-100.03</v>
      </c>
    </row>
    <row r="564" spans="1:8" x14ac:dyDescent="0.25">
      <c r="A564" s="1">
        <v>44549</v>
      </c>
      <c r="B564" t="s">
        <v>579</v>
      </c>
      <c r="C564" t="s">
        <v>13</v>
      </c>
      <c r="D564">
        <v>3469</v>
      </c>
      <c r="E564" t="s">
        <v>14</v>
      </c>
      <c r="F564" s="2" t="str">
        <f t="shared" si="24"/>
        <v>Dec</v>
      </c>
      <c r="G564" s="2">
        <f t="shared" si="25"/>
        <v>2021</v>
      </c>
      <c r="H564" s="2">
        <f t="shared" si="26"/>
        <v>3469</v>
      </c>
    </row>
    <row r="565" spans="1:8" x14ac:dyDescent="0.25">
      <c r="A565" s="1">
        <v>44550</v>
      </c>
      <c r="B565" t="s">
        <v>580</v>
      </c>
      <c r="C565" t="s">
        <v>11</v>
      </c>
      <c r="D565">
        <v>778.83</v>
      </c>
      <c r="E565" t="s">
        <v>7</v>
      </c>
      <c r="F565" s="2" t="str">
        <f t="shared" si="24"/>
        <v>Dec</v>
      </c>
      <c r="G565" s="2">
        <f t="shared" si="25"/>
        <v>2021</v>
      </c>
      <c r="H565" s="2">
        <f t="shared" si="26"/>
        <v>-778.83</v>
      </c>
    </row>
    <row r="566" spans="1:8" x14ac:dyDescent="0.25">
      <c r="A566" s="1">
        <v>44550</v>
      </c>
      <c r="B566" t="s">
        <v>581</v>
      </c>
      <c r="C566" t="s">
        <v>35</v>
      </c>
      <c r="D566">
        <v>1652.37</v>
      </c>
      <c r="E566" t="s">
        <v>7</v>
      </c>
      <c r="F566" s="2" t="str">
        <f t="shared" si="24"/>
        <v>Dec</v>
      </c>
      <c r="G566" s="2">
        <f t="shared" si="25"/>
        <v>2021</v>
      </c>
      <c r="H566" s="2">
        <f t="shared" si="26"/>
        <v>-1652.37</v>
      </c>
    </row>
    <row r="567" spans="1:8" x14ac:dyDescent="0.25">
      <c r="A567" s="1">
        <v>44553</v>
      </c>
      <c r="B567" t="s">
        <v>582</v>
      </c>
      <c r="C567" t="s">
        <v>11</v>
      </c>
      <c r="D567">
        <v>266.04000000000002</v>
      </c>
      <c r="E567" t="s">
        <v>7</v>
      </c>
      <c r="F567" s="2" t="str">
        <f t="shared" si="24"/>
        <v>Dec</v>
      </c>
      <c r="G567" s="2">
        <f t="shared" si="25"/>
        <v>2021</v>
      </c>
      <c r="H567" s="2">
        <f t="shared" si="26"/>
        <v>-266.04000000000002</v>
      </c>
    </row>
    <row r="568" spans="1:8" x14ac:dyDescent="0.25">
      <c r="A568" s="1">
        <v>44554</v>
      </c>
      <c r="B568" t="s">
        <v>583</v>
      </c>
      <c r="C568" t="s">
        <v>20</v>
      </c>
      <c r="D568">
        <v>3277</v>
      </c>
      <c r="E568" t="s">
        <v>14</v>
      </c>
      <c r="F568" s="2" t="str">
        <f t="shared" si="24"/>
        <v>Dec</v>
      </c>
      <c r="G568" s="2">
        <f t="shared" si="25"/>
        <v>2021</v>
      </c>
      <c r="H568" s="2">
        <f t="shared" si="26"/>
        <v>3277</v>
      </c>
    </row>
    <row r="569" spans="1:8" x14ac:dyDescent="0.25">
      <c r="A569" s="1">
        <v>44556</v>
      </c>
      <c r="B569" t="s">
        <v>584</v>
      </c>
      <c r="C569" t="s">
        <v>25</v>
      </c>
      <c r="D569">
        <v>1512.38</v>
      </c>
      <c r="E569" t="s">
        <v>7</v>
      </c>
      <c r="F569" s="2" t="str">
        <f t="shared" si="24"/>
        <v>Dec</v>
      </c>
      <c r="G569" s="2">
        <f t="shared" si="25"/>
        <v>2021</v>
      </c>
      <c r="H569" s="2">
        <f t="shared" si="26"/>
        <v>-1512.38</v>
      </c>
    </row>
    <row r="570" spans="1:8" x14ac:dyDescent="0.25">
      <c r="A570" s="1">
        <v>44558</v>
      </c>
      <c r="B570" t="s">
        <v>585</v>
      </c>
      <c r="C570" t="s">
        <v>20</v>
      </c>
      <c r="D570">
        <v>4596</v>
      </c>
      <c r="E570" t="s">
        <v>14</v>
      </c>
      <c r="F570" s="2" t="str">
        <f t="shared" si="24"/>
        <v>Dec</v>
      </c>
      <c r="G570" s="2">
        <f t="shared" si="25"/>
        <v>2021</v>
      </c>
      <c r="H570" s="2">
        <f t="shared" si="26"/>
        <v>4596</v>
      </c>
    </row>
    <row r="571" spans="1:8" x14ac:dyDescent="0.25">
      <c r="A571" s="1">
        <v>44561</v>
      </c>
      <c r="B571" t="s">
        <v>586</v>
      </c>
      <c r="C571" t="s">
        <v>13</v>
      </c>
      <c r="D571">
        <v>1622</v>
      </c>
      <c r="E571" t="s">
        <v>14</v>
      </c>
      <c r="F571" s="2" t="str">
        <f t="shared" si="24"/>
        <v>Dec</v>
      </c>
      <c r="G571" s="2">
        <f t="shared" si="25"/>
        <v>2021</v>
      </c>
      <c r="H571" s="2">
        <f t="shared" si="26"/>
        <v>1622</v>
      </c>
    </row>
    <row r="572" spans="1:8" x14ac:dyDescent="0.25">
      <c r="A572" s="1">
        <v>44562</v>
      </c>
      <c r="B572" t="s">
        <v>587</v>
      </c>
      <c r="C572" t="s">
        <v>27</v>
      </c>
      <c r="D572">
        <v>1043.47</v>
      </c>
      <c r="E572" t="s">
        <v>7</v>
      </c>
      <c r="F572" s="2" t="str">
        <f t="shared" si="24"/>
        <v>Jan</v>
      </c>
      <c r="G572" s="2">
        <f t="shared" si="25"/>
        <v>2022</v>
      </c>
      <c r="H572" s="2">
        <f t="shared" si="26"/>
        <v>-1043.47</v>
      </c>
    </row>
    <row r="573" spans="1:8" x14ac:dyDescent="0.25">
      <c r="A573" s="1">
        <v>44564</v>
      </c>
      <c r="B573" t="s">
        <v>588</v>
      </c>
      <c r="C573" t="s">
        <v>13</v>
      </c>
      <c r="D573">
        <v>3186</v>
      </c>
      <c r="E573" t="s">
        <v>14</v>
      </c>
      <c r="F573" s="2" t="str">
        <f t="shared" si="24"/>
        <v>Jan</v>
      </c>
      <c r="G573" s="2">
        <f t="shared" si="25"/>
        <v>2022</v>
      </c>
      <c r="H573" s="2">
        <f t="shared" si="26"/>
        <v>3186</v>
      </c>
    </row>
    <row r="574" spans="1:8" x14ac:dyDescent="0.25">
      <c r="A574" s="1">
        <v>44564</v>
      </c>
      <c r="B574" t="s">
        <v>589</v>
      </c>
      <c r="C574" t="s">
        <v>25</v>
      </c>
      <c r="D574">
        <v>333.38</v>
      </c>
      <c r="E574" t="s">
        <v>7</v>
      </c>
      <c r="F574" s="2" t="str">
        <f t="shared" si="24"/>
        <v>Jan</v>
      </c>
      <c r="G574" s="2">
        <f t="shared" si="25"/>
        <v>2022</v>
      </c>
      <c r="H574" s="2">
        <f t="shared" si="26"/>
        <v>-333.38</v>
      </c>
    </row>
    <row r="575" spans="1:8" x14ac:dyDescent="0.25">
      <c r="A575" s="1">
        <v>44564</v>
      </c>
      <c r="B575" t="s">
        <v>590</v>
      </c>
      <c r="C575" t="s">
        <v>35</v>
      </c>
      <c r="D575">
        <v>1191.51</v>
      </c>
      <c r="E575" t="s">
        <v>7</v>
      </c>
      <c r="F575" s="2" t="str">
        <f t="shared" si="24"/>
        <v>Jan</v>
      </c>
      <c r="G575" s="2">
        <f t="shared" si="25"/>
        <v>2022</v>
      </c>
      <c r="H575" s="2">
        <f t="shared" si="26"/>
        <v>-1191.51</v>
      </c>
    </row>
    <row r="576" spans="1:8" x14ac:dyDescent="0.25">
      <c r="A576" s="1">
        <v>44565</v>
      </c>
      <c r="B576" t="s">
        <v>591</v>
      </c>
      <c r="C576" t="s">
        <v>27</v>
      </c>
      <c r="D576">
        <v>1420.39</v>
      </c>
      <c r="E576" t="s">
        <v>7</v>
      </c>
      <c r="F576" s="2" t="str">
        <f t="shared" si="24"/>
        <v>Jan</v>
      </c>
      <c r="G576" s="2">
        <f t="shared" si="25"/>
        <v>2022</v>
      </c>
      <c r="H576" s="2">
        <f t="shared" si="26"/>
        <v>-1420.39</v>
      </c>
    </row>
    <row r="577" spans="1:8" x14ac:dyDescent="0.25">
      <c r="A577" s="1">
        <v>44566</v>
      </c>
      <c r="B577" t="s">
        <v>592</v>
      </c>
      <c r="C577" t="s">
        <v>6</v>
      </c>
      <c r="D577">
        <v>743.03</v>
      </c>
      <c r="E577" t="s">
        <v>7</v>
      </c>
      <c r="F577" s="2" t="str">
        <f t="shared" si="24"/>
        <v>Jan</v>
      </c>
      <c r="G577" s="2">
        <f t="shared" si="25"/>
        <v>2022</v>
      </c>
      <c r="H577" s="2">
        <f t="shared" si="26"/>
        <v>-743.03</v>
      </c>
    </row>
    <row r="578" spans="1:8" x14ac:dyDescent="0.25">
      <c r="A578" s="1">
        <v>44567</v>
      </c>
      <c r="B578" t="s">
        <v>593</v>
      </c>
      <c r="C578" t="s">
        <v>17</v>
      </c>
      <c r="D578">
        <v>1171.57</v>
      </c>
      <c r="E578" t="s">
        <v>7</v>
      </c>
      <c r="F578" s="2" t="str">
        <f t="shared" ref="F578:F641" si="27">TEXT(A578,"mmm")</f>
        <v>Jan</v>
      </c>
      <c r="G578" s="2">
        <f t="shared" ref="G578:G641" si="28">YEAR(A578)</f>
        <v>2022</v>
      </c>
      <c r="H578" s="2">
        <f t="shared" ref="H578:H641" si="29">IF(E578="Income",D578,-D578)</f>
        <v>-1171.57</v>
      </c>
    </row>
    <row r="579" spans="1:8" x14ac:dyDescent="0.25">
      <c r="A579" s="1">
        <v>44569</v>
      </c>
      <c r="B579" t="s">
        <v>594</v>
      </c>
      <c r="C579" t="s">
        <v>6</v>
      </c>
      <c r="D579">
        <v>1197.8499999999999</v>
      </c>
      <c r="E579" t="s">
        <v>7</v>
      </c>
      <c r="F579" s="2" t="str">
        <f t="shared" si="27"/>
        <v>Jan</v>
      </c>
      <c r="G579" s="2">
        <f t="shared" si="28"/>
        <v>2022</v>
      </c>
      <c r="H579" s="2">
        <f t="shared" si="29"/>
        <v>-1197.8499999999999</v>
      </c>
    </row>
    <row r="580" spans="1:8" x14ac:dyDescent="0.25">
      <c r="A580" s="1">
        <v>44570</v>
      </c>
      <c r="B580" t="s">
        <v>595</v>
      </c>
      <c r="C580" t="s">
        <v>22</v>
      </c>
      <c r="D580">
        <v>1445.59</v>
      </c>
      <c r="E580" t="s">
        <v>7</v>
      </c>
      <c r="F580" s="2" t="str">
        <f t="shared" si="27"/>
        <v>Jan</v>
      </c>
      <c r="G580" s="2">
        <f t="shared" si="28"/>
        <v>2022</v>
      </c>
      <c r="H580" s="2">
        <f t="shared" si="29"/>
        <v>-1445.59</v>
      </c>
    </row>
    <row r="581" spans="1:8" x14ac:dyDescent="0.25">
      <c r="A581" s="1">
        <v>44574</v>
      </c>
      <c r="B581" t="s">
        <v>596</v>
      </c>
      <c r="C581" t="s">
        <v>9</v>
      </c>
      <c r="D581">
        <v>1053.22</v>
      </c>
      <c r="E581" t="s">
        <v>7</v>
      </c>
      <c r="F581" s="2" t="str">
        <f t="shared" si="27"/>
        <v>Jan</v>
      </c>
      <c r="G581" s="2">
        <f t="shared" si="28"/>
        <v>2022</v>
      </c>
      <c r="H581" s="2">
        <f t="shared" si="29"/>
        <v>-1053.22</v>
      </c>
    </row>
    <row r="582" spans="1:8" x14ac:dyDescent="0.25">
      <c r="A582" s="1">
        <v>44574</v>
      </c>
      <c r="B582" t="s">
        <v>597</v>
      </c>
      <c r="C582" t="s">
        <v>17</v>
      </c>
      <c r="D582">
        <v>304.07</v>
      </c>
      <c r="E582" t="s">
        <v>7</v>
      </c>
      <c r="F582" s="2" t="str">
        <f t="shared" si="27"/>
        <v>Jan</v>
      </c>
      <c r="G582" s="2">
        <f t="shared" si="28"/>
        <v>2022</v>
      </c>
      <c r="H582" s="2">
        <f t="shared" si="29"/>
        <v>-304.07</v>
      </c>
    </row>
    <row r="583" spans="1:8" x14ac:dyDescent="0.25">
      <c r="A583" s="1">
        <v>44575</v>
      </c>
      <c r="B583" t="s">
        <v>598</v>
      </c>
      <c r="C583" t="s">
        <v>6</v>
      </c>
      <c r="D583">
        <v>1149.4100000000001</v>
      </c>
      <c r="E583" t="s">
        <v>7</v>
      </c>
      <c r="F583" s="2" t="str">
        <f t="shared" si="27"/>
        <v>Jan</v>
      </c>
      <c r="G583" s="2">
        <f t="shared" si="28"/>
        <v>2022</v>
      </c>
      <c r="H583" s="2">
        <f t="shared" si="29"/>
        <v>-1149.4100000000001</v>
      </c>
    </row>
    <row r="584" spans="1:8" x14ac:dyDescent="0.25">
      <c r="A584" s="1">
        <v>44577</v>
      </c>
      <c r="B584" t="s">
        <v>599</v>
      </c>
      <c r="C584" t="s">
        <v>22</v>
      </c>
      <c r="D584">
        <v>47.69</v>
      </c>
      <c r="E584" t="s">
        <v>7</v>
      </c>
      <c r="F584" s="2" t="str">
        <f t="shared" si="27"/>
        <v>Jan</v>
      </c>
      <c r="G584" s="2">
        <f t="shared" si="28"/>
        <v>2022</v>
      </c>
      <c r="H584" s="2">
        <f t="shared" si="29"/>
        <v>-47.69</v>
      </c>
    </row>
    <row r="585" spans="1:8" x14ac:dyDescent="0.25">
      <c r="A585" s="1">
        <v>44577</v>
      </c>
      <c r="B585" t="s">
        <v>600</v>
      </c>
      <c r="C585" t="s">
        <v>9</v>
      </c>
      <c r="D585">
        <v>831.79</v>
      </c>
      <c r="E585" t="s">
        <v>7</v>
      </c>
      <c r="F585" s="2" t="str">
        <f t="shared" si="27"/>
        <v>Jan</v>
      </c>
      <c r="G585" s="2">
        <f t="shared" si="28"/>
        <v>2022</v>
      </c>
      <c r="H585" s="2">
        <f t="shared" si="29"/>
        <v>-831.79</v>
      </c>
    </row>
    <row r="586" spans="1:8" x14ac:dyDescent="0.25">
      <c r="A586" s="1">
        <v>44579</v>
      </c>
      <c r="B586" t="s">
        <v>601</v>
      </c>
      <c r="C586" t="s">
        <v>27</v>
      </c>
      <c r="D586">
        <v>1746.91</v>
      </c>
      <c r="E586" t="s">
        <v>7</v>
      </c>
      <c r="F586" s="2" t="str">
        <f t="shared" si="27"/>
        <v>Jan</v>
      </c>
      <c r="G586" s="2">
        <f t="shared" si="28"/>
        <v>2022</v>
      </c>
      <c r="H586" s="2">
        <f t="shared" si="29"/>
        <v>-1746.91</v>
      </c>
    </row>
    <row r="587" spans="1:8" x14ac:dyDescent="0.25">
      <c r="A587" s="1">
        <v>44579</v>
      </c>
      <c r="B587" t="s">
        <v>602</v>
      </c>
      <c r="C587" t="s">
        <v>6</v>
      </c>
      <c r="D587">
        <v>1414.49</v>
      </c>
      <c r="E587" t="s">
        <v>7</v>
      </c>
      <c r="F587" s="2" t="str">
        <f t="shared" si="27"/>
        <v>Jan</v>
      </c>
      <c r="G587" s="2">
        <f t="shared" si="28"/>
        <v>2022</v>
      </c>
      <c r="H587" s="2">
        <f t="shared" si="29"/>
        <v>-1414.49</v>
      </c>
    </row>
    <row r="588" spans="1:8" x14ac:dyDescent="0.25">
      <c r="A588" s="1">
        <v>44582</v>
      </c>
      <c r="B588" t="s">
        <v>603</v>
      </c>
      <c r="C588" t="s">
        <v>25</v>
      </c>
      <c r="D588">
        <v>1996.26</v>
      </c>
      <c r="E588" t="s">
        <v>7</v>
      </c>
      <c r="F588" s="2" t="str">
        <f t="shared" si="27"/>
        <v>Jan</v>
      </c>
      <c r="G588" s="2">
        <f t="shared" si="28"/>
        <v>2022</v>
      </c>
      <c r="H588" s="2">
        <f t="shared" si="29"/>
        <v>-1996.26</v>
      </c>
    </row>
    <row r="589" spans="1:8" x14ac:dyDescent="0.25">
      <c r="A589" s="1">
        <v>44582</v>
      </c>
      <c r="B589" t="s">
        <v>604</v>
      </c>
      <c r="C589" t="s">
        <v>17</v>
      </c>
      <c r="D589">
        <v>634.37</v>
      </c>
      <c r="E589" t="s">
        <v>7</v>
      </c>
      <c r="F589" s="2" t="str">
        <f t="shared" si="27"/>
        <v>Jan</v>
      </c>
      <c r="G589" s="2">
        <f t="shared" si="28"/>
        <v>2022</v>
      </c>
      <c r="H589" s="2">
        <f t="shared" si="29"/>
        <v>-634.37</v>
      </c>
    </row>
    <row r="590" spans="1:8" x14ac:dyDescent="0.25">
      <c r="A590" s="1">
        <v>44583</v>
      </c>
      <c r="B590" t="s">
        <v>605</v>
      </c>
      <c r="C590" t="s">
        <v>20</v>
      </c>
      <c r="D590">
        <v>4975</v>
      </c>
      <c r="E590" t="s">
        <v>14</v>
      </c>
      <c r="F590" s="2" t="str">
        <f t="shared" si="27"/>
        <v>Jan</v>
      </c>
      <c r="G590" s="2">
        <f t="shared" si="28"/>
        <v>2022</v>
      </c>
      <c r="H590" s="2">
        <f t="shared" si="29"/>
        <v>4975</v>
      </c>
    </row>
    <row r="591" spans="1:8" x14ac:dyDescent="0.25">
      <c r="A591" s="1">
        <v>44584</v>
      </c>
      <c r="B591" t="s">
        <v>606</v>
      </c>
      <c r="C591" t="s">
        <v>35</v>
      </c>
      <c r="D591">
        <v>1224.05</v>
      </c>
      <c r="E591" t="s">
        <v>7</v>
      </c>
      <c r="F591" s="2" t="str">
        <f t="shared" si="27"/>
        <v>Jan</v>
      </c>
      <c r="G591" s="2">
        <f t="shared" si="28"/>
        <v>2022</v>
      </c>
      <c r="H591" s="2">
        <f t="shared" si="29"/>
        <v>-1224.05</v>
      </c>
    </row>
    <row r="592" spans="1:8" x14ac:dyDescent="0.25">
      <c r="A592" s="1">
        <v>44585</v>
      </c>
      <c r="B592" t="s">
        <v>607</v>
      </c>
      <c r="C592" t="s">
        <v>13</v>
      </c>
      <c r="D592">
        <v>2785</v>
      </c>
      <c r="E592" t="s">
        <v>14</v>
      </c>
      <c r="F592" s="2" t="str">
        <f t="shared" si="27"/>
        <v>Jan</v>
      </c>
      <c r="G592" s="2">
        <f t="shared" si="28"/>
        <v>2022</v>
      </c>
      <c r="H592" s="2">
        <f t="shared" si="29"/>
        <v>2785</v>
      </c>
    </row>
    <row r="593" spans="1:8" x14ac:dyDescent="0.25">
      <c r="A593" s="1">
        <v>44589</v>
      </c>
      <c r="B593" t="s">
        <v>608</v>
      </c>
      <c r="C593" t="s">
        <v>22</v>
      </c>
      <c r="D593">
        <v>1883.56</v>
      </c>
      <c r="E593" t="s">
        <v>7</v>
      </c>
      <c r="F593" s="2" t="str">
        <f t="shared" si="27"/>
        <v>Jan</v>
      </c>
      <c r="G593" s="2">
        <f t="shared" si="28"/>
        <v>2022</v>
      </c>
      <c r="H593" s="2">
        <f t="shared" si="29"/>
        <v>-1883.56</v>
      </c>
    </row>
    <row r="594" spans="1:8" x14ac:dyDescent="0.25">
      <c r="A594" s="1">
        <v>44593</v>
      </c>
      <c r="B594" t="s">
        <v>609</v>
      </c>
      <c r="C594" t="s">
        <v>35</v>
      </c>
      <c r="D594">
        <v>1412.75</v>
      </c>
      <c r="E594" t="s">
        <v>7</v>
      </c>
      <c r="F594" s="2" t="str">
        <f t="shared" si="27"/>
        <v>Feb</v>
      </c>
      <c r="G594" s="2">
        <f t="shared" si="28"/>
        <v>2022</v>
      </c>
      <c r="H594" s="2">
        <f t="shared" si="29"/>
        <v>-1412.75</v>
      </c>
    </row>
    <row r="595" spans="1:8" x14ac:dyDescent="0.25">
      <c r="A595" s="1">
        <v>44594</v>
      </c>
      <c r="B595" t="s">
        <v>610</v>
      </c>
      <c r="C595" t="s">
        <v>27</v>
      </c>
      <c r="D595">
        <v>640.91</v>
      </c>
      <c r="E595" t="s">
        <v>7</v>
      </c>
      <c r="F595" s="2" t="str">
        <f t="shared" si="27"/>
        <v>Feb</v>
      </c>
      <c r="G595" s="2">
        <f t="shared" si="28"/>
        <v>2022</v>
      </c>
      <c r="H595" s="2">
        <f t="shared" si="29"/>
        <v>-640.91</v>
      </c>
    </row>
    <row r="596" spans="1:8" x14ac:dyDescent="0.25">
      <c r="A596" s="1">
        <v>44597</v>
      </c>
      <c r="B596" t="s">
        <v>611</v>
      </c>
      <c r="C596" t="s">
        <v>35</v>
      </c>
      <c r="D596">
        <v>582.70000000000005</v>
      </c>
      <c r="E596" t="s">
        <v>7</v>
      </c>
      <c r="F596" s="2" t="str">
        <f t="shared" si="27"/>
        <v>Feb</v>
      </c>
      <c r="G596" s="2">
        <f t="shared" si="28"/>
        <v>2022</v>
      </c>
      <c r="H596" s="2">
        <f t="shared" si="29"/>
        <v>-582.70000000000005</v>
      </c>
    </row>
    <row r="597" spans="1:8" x14ac:dyDescent="0.25">
      <c r="A597" s="1">
        <v>44597</v>
      </c>
      <c r="B597" t="s">
        <v>612</v>
      </c>
      <c r="C597" t="s">
        <v>17</v>
      </c>
      <c r="D597">
        <v>1792.56</v>
      </c>
      <c r="E597" t="s">
        <v>7</v>
      </c>
      <c r="F597" s="2" t="str">
        <f t="shared" si="27"/>
        <v>Feb</v>
      </c>
      <c r="G597" s="2">
        <f t="shared" si="28"/>
        <v>2022</v>
      </c>
      <c r="H597" s="2">
        <f t="shared" si="29"/>
        <v>-1792.56</v>
      </c>
    </row>
    <row r="598" spans="1:8" x14ac:dyDescent="0.25">
      <c r="A598" s="1">
        <v>44598</v>
      </c>
      <c r="B598" t="s">
        <v>613</v>
      </c>
      <c r="C598" t="s">
        <v>25</v>
      </c>
      <c r="D598">
        <v>1909.67</v>
      </c>
      <c r="E598" t="s">
        <v>7</v>
      </c>
      <c r="F598" s="2" t="str">
        <f t="shared" si="27"/>
        <v>Feb</v>
      </c>
      <c r="G598" s="2">
        <f t="shared" si="28"/>
        <v>2022</v>
      </c>
      <c r="H598" s="2">
        <f t="shared" si="29"/>
        <v>-1909.67</v>
      </c>
    </row>
    <row r="599" spans="1:8" x14ac:dyDescent="0.25">
      <c r="A599" s="1">
        <v>44600</v>
      </c>
      <c r="B599" t="s">
        <v>614</v>
      </c>
      <c r="C599" t="s">
        <v>35</v>
      </c>
      <c r="D599">
        <v>93.71</v>
      </c>
      <c r="E599" t="s">
        <v>7</v>
      </c>
      <c r="F599" s="2" t="str">
        <f t="shared" si="27"/>
        <v>Feb</v>
      </c>
      <c r="G599" s="2">
        <f t="shared" si="28"/>
        <v>2022</v>
      </c>
      <c r="H599" s="2">
        <f t="shared" si="29"/>
        <v>-93.71</v>
      </c>
    </row>
    <row r="600" spans="1:8" x14ac:dyDescent="0.25">
      <c r="A600" s="1">
        <v>44600</v>
      </c>
      <c r="B600" t="s">
        <v>615</v>
      </c>
      <c r="C600" t="s">
        <v>11</v>
      </c>
      <c r="D600">
        <v>699.26</v>
      </c>
      <c r="E600" t="s">
        <v>7</v>
      </c>
      <c r="F600" s="2" t="str">
        <f t="shared" si="27"/>
        <v>Feb</v>
      </c>
      <c r="G600" s="2">
        <f t="shared" si="28"/>
        <v>2022</v>
      </c>
      <c r="H600" s="2">
        <f t="shared" si="29"/>
        <v>-699.26</v>
      </c>
    </row>
    <row r="601" spans="1:8" x14ac:dyDescent="0.25">
      <c r="A601" s="1">
        <v>44601</v>
      </c>
      <c r="B601" t="s">
        <v>616</v>
      </c>
      <c r="C601" t="s">
        <v>35</v>
      </c>
      <c r="D601">
        <v>1497.2</v>
      </c>
      <c r="E601" t="s">
        <v>7</v>
      </c>
      <c r="F601" s="2" t="str">
        <f t="shared" si="27"/>
        <v>Feb</v>
      </c>
      <c r="G601" s="2">
        <f t="shared" si="28"/>
        <v>2022</v>
      </c>
      <c r="H601" s="2">
        <f t="shared" si="29"/>
        <v>-1497.2</v>
      </c>
    </row>
    <row r="602" spans="1:8" x14ac:dyDescent="0.25">
      <c r="A602" s="1">
        <v>44602</v>
      </c>
      <c r="B602" t="s">
        <v>617</v>
      </c>
      <c r="C602" t="s">
        <v>35</v>
      </c>
      <c r="D602">
        <v>1866.72</v>
      </c>
      <c r="E602" t="s">
        <v>7</v>
      </c>
      <c r="F602" s="2" t="str">
        <f t="shared" si="27"/>
        <v>Feb</v>
      </c>
      <c r="G602" s="2">
        <f t="shared" si="28"/>
        <v>2022</v>
      </c>
      <c r="H602" s="2">
        <f t="shared" si="29"/>
        <v>-1866.72</v>
      </c>
    </row>
    <row r="603" spans="1:8" x14ac:dyDescent="0.25">
      <c r="A603" s="1">
        <v>44602</v>
      </c>
      <c r="B603" t="s">
        <v>618</v>
      </c>
      <c r="C603" t="s">
        <v>9</v>
      </c>
      <c r="D603">
        <v>227.36</v>
      </c>
      <c r="E603" t="s">
        <v>7</v>
      </c>
      <c r="F603" s="2" t="str">
        <f t="shared" si="27"/>
        <v>Feb</v>
      </c>
      <c r="G603" s="2">
        <f t="shared" si="28"/>
        <v>2022</v>
      </c>
      <c r="H603" s="2">
        <f t="shared" si="29"/>
        <v>-227.36</v>
      </c>
    </row>
    <row r="604" spans="1:8" x14ac:dyDescent="0.25">
      <c r="A604" s="1">
        <v>44602</v>
      </c>
      <c r="B604" t="s">
        <v>619</v>
      </c>
      <c r="C604" t="s">
        <v>22</v>
      </c>
      <c r="D604">
        <v>492.49</v>
      </c>
      <c r="E604" t="s">
        <v>7</v>
      </c>
      <c r="F604" s="2" t="str">
        <f t="shared" si="27"/>
        <v>Feb</v>
      </c>
      <c r="G604" s="2">
        <f t="shared" si="28"/>
        <v>2022</v>
      </c>
      <c r="H604" s="2">
        <f t="shared" si="29"/>
        <v>-492.49</v>
      </c>
    </row>
    <row r="605" spans="1:8" x14ac:dyDescent="0.25">
      <c r="A605" s="1">
        <v>44602</v>
      </c>
      <c r="B605" t="s">
        <v>620</v>
      </c>
      <c r="C605" t="s">
        <v>22</v>
      </c>
      <c r="D605">
        <v>1279.51</v>
      </c>
      <c r="E605" t="s">
        <v>7</v>
      </c>
      <c r="F605" s="2" t="str">
        <f t="shared" si="27"/>
        <v>Feb</v>
      </c>
      <c r="G605" s="2">
        <f t="shared" si="28"/>
        <v>2022</v>
      </c>
      <c r="H605" s="2">
        <f t="shared" si="29"/>
        <v>-1279.51</v>
      </c>
    </row>
    <row r="606" spans="1:8" x14ac:dyDescent="0.25">
      <c r="A606" s="1">
        <v>44603</v>
      </c>
      <c r="B606" t="s">
        <v>621</v>
      </c>
      <c r="C606" t="s">
        <v>20</v>
      </c>
      <c r="D606">
        <v>3205</v>
      </c>
      <c r="E606" t="s">
        <v>14</v>
      </c>
      <c r="F606" s="2" t="str">
        <f t="shared" si="27"/>
        <v>Feb</v>
      </c>
      <c r="G606" s="2">
        <f t="shared" si="28"/>
        <v>2022</v>
      </c>
      <c r="H606" s="2">
        <f t="shared" si="29"/>
        <v>3205</v>
      </c>
    </row>
    <row r="607" spans="1:8" x14ac:dyDescent="0.25">
      <c r="A607" s="1">
        <v>44606</v>
      </c>
      <c r="B607" t="s">
        <v>622</v>
      </c>
      <c r="C607" t="s">
        <v>11</v>
      </c>
      <c r="D607">
        <v>1365.57</v>
      </c>
      <c r="E607" t="s">
        <v>7</v>
      </c>
      <c r="F607" s="2" t="str">
        <f t="shared" si="27"/>
        <v>Feb</v>
      </c>
      <c r="G607" s="2">
        <f t="shared" si="28"/>
        <v>2022</v>
      </c>
      <c r="H607" s="2">
        <f t="shared" si="29"/>
        <v>-1365.57</v>
      </c>
    </row>
    <row r="608" spans="1:8" x14ac:dyDescent="0.25">
      <c r="A608" s="1">
        <v>44609</v>
      </c>
      <c r="B608" t="s">
        <v>623</v>
      </c>
      <c r="C608" t="s">
        <v>13</v>
      </c>
      <c r="D608">
        <v>3833</v>
      </c>
      <c r="E608" t="s">
        <v>14</v>
      </c>
      <c r="F608" s="2" t="str">
        <f t="shared" si="27"/>
        <v>Feb</v>
      </c>
      <c r="G608" s="2">
        <f t="shared" si="28"/>
        <v>2022</v>
      </c>
      <c r="H608" s="2">
        <f t="shared" si="29"/>
        <v>3833</v>
      </c>
    </row>
    <row r="609" spans="1:8" x14ac:dyDescent="0.25">
      <c r="A609" s="1">
        <v>44609</v>
      </c>
      <c r="B609" t="s">
        <v>624</v>
      </c>
      <c r="C609" t="s">
        <v>27</v>
      </c>
      <c r="D609">
        <v>960.12</v>
      </c>
      <c r="E609" t="s">
        <v>7</v>
      </c>
      <c r="F609" s="2" t="str">
        <f t="shared" si="27"/>
        <v>Feb</v>
      </c>
      <c r="G609" s="2">
        <f t="shared" si="28"/>
        <v>2022</v>
      </c>
      <c r="H609" s="2">
        <f t="shared" si="29"/>
        <v>-960.12</v>
      </c>
    </row>
    <row r="610" spans="1:8" x14ac:dyDescent="0.25">
      <c r="A610" s="1">
        <v>44609</v>
      </c>
      <c r="B610" t="s">
        <v>625</v>
      </c>
      <c r="C610" t="s">
        <v>20</v>
      </c>
      <c r="D610">
        <v>3131</v>
      </c>
      <c r="E610" t="s">
        <v>14</v>
      </c>
      <c r="F610" s="2" t="str">
        <f t="shared" si="27"/>
        <v>Feb</v>
      </c>
      <c r="G610" s="2">
        <f t="shared" si="28"/>
        <v>2022</v>
      </c>
      <c r="H610" s="2">
        <f t="shared" si="29"/>
        <v>3131</v>
      </c>
    </row>
    <row r="611" spans="1:8" x14ac:dyDescent="0.25">
      <c r="A611" s="1">
        <v>44609</v>
      </c>
      <c r="B611" t="s">
        <v>626</v>
      </c>
      <c r="C611" t="s">
        <v>6</v>
      </c>
      <c r="D611">
        <v>1816.79</v>
      </c>
      <c r="E611" t="s">
        <v>7</v>
      </c>
      <c r="F611" s="2" t="str">
        <f t="shared" si="27"/>
        <v>Feb</v>
      </c>
      <c r="G611" s="2">
        <f t="shared" si="28"/>
        <v>2022</v>
      </c>
      <c r="H611" s="2">
        <f t="shared" si="29"/>
        <v>-1816.79</v>
      </c>
    </row>
    <row r="612" spans="1:8" x14ac:dyDescent="0.25">
      <c r="A612" s="1">
        <v>44610</v>
      </c>
      <c r="B612" t="s">
        <v>627</v>
      </c>
      <c r="C612" t="s">
        <v>13</v>
      </c>
      <c r="D612">
        <v>4883</v>
      </c>
      <c r="E612" t="s">
        <v>14</v>
      </c>
      <c r="F612" s="2" t="str">
        <f t="shared" si="27"/>
        <v>Feb</v>
      </c>
      <c r="G612" s="2">
        <f t="shared" si="28"/>
        <v>2022</v>
      </c>
      <c r="H612" s="2">
        <f t="shared" si="29"/>
        <v>4883</v>
      </c>
    </row>
    <row r="613" spans="1:8" x14ac:dyDescent="0.25">
      <c r="A613" s="1">
        <v>44613</v>
      </c>
      <c r="B613" t="s">
        <v>628</v>
      </c>
      <c r="C613" t="s">
        <v>6</v>
      </c>
      <c r="D613">
        <v>1827.33</v>
      </c>
      <c r="E613" t="s">
        <v>7</v>
      </c>
      <c r="F613" s="2" t="str">
        <f t="shared" si="27"/>
        <v>Feb</v>
      </c>
      <c r="G613" s="2">
        <f t="shared" si="28"/>
        <v>2022</v>
      </c>
      <c r="H613" s="2">
        <f t="shared" si="29"/>
        <v>-1827.33</v>
      </c>
    </row>
    <row r="614" spans="1:8" x14ac:dyDescent="0.25">
      <c r="A614" s="1">
        <v>44614</v>
      </c>
      <c r="B614" t="s">
        <v>629</v>
      </c>
      <c r="C614" t="s">
        <v>13</v>
      </c>
      <c r="D614">
        <v>797</v>
      </c>
      <c r="E614" t="s">
        <v>14</v>
      </c>
      <c r="F614" s="2" t="str">
        <f t="shared" si="27"/>
        <v>Feb</v>
      </c>
      <c r="G614" s="2">
        <f t="shared" si="28"/>
        <v>2022</v>
      </c>
      <c r="H614" s="2">
        <f t="shared" si="29"/>
        <v>797</v>
      </c>
    </row>
    <row r="615" spans="1:8" x14ac:dyDescent="0.25">
      <c r="A615" s="1">
        <v>44614</v>
      </c>
      <c r="B615" t="s">
        <v>630</v>
      </c>
      <c r="C615" t="s">
        <v>17</v>
      </c>
      <c r="D615">
        <v>1578.04</v>
      </c>
      <c r="E615" t="s">
        <v>7</v>
      </c>
      <c r="F615" s="2" t="str">
        <f t="shared" si="27"/>
        <v>Feb</v>
      </c>
      <c r="G615" s="2">
        <f t="shared" si="28"/>
        <v>2022</v>
      </c>
      <c r="H615" s="2">
        <f t="shared" si="29"/>
        <v>-1578.04</v>
      </c>
    </row>
    <row r="616" spans="1:8" x14ac:dyDescent="0.25">
      <c r="A616" s="1">
        <v>44617</v>
      </c>
      <c r="B616" t="s">
        <v>631</v>
      </c>
      <c r="C616" t="s">
        <v>20</v>
      </c>
      <c r="D616">
        <v>806</v>
      </c>
      <c r="E616" t="s">
        <v>14</v>
      </c>
      <c r="F616" s="2" t="str">
        <f t="shared" si="27"/>
        <v>Feb</v>
      </c>
      <c r="G616" s="2">
        <f t="shared" si="28"/>
        <v>2022</v>
      </c>
      <c r="H616" s="2">
        <f t="shared" si="29"/>
        <v>806</v>
      </c>
    </row>
    <row r="617" spans="1:8" x14ac:dyDescent="0.25">
      <c r="A617" s="1">
        <v>44619</v>
      </c>
      <c r="B617" t="s">
        <v>632</v>
      </c>
      <c r="C617" t="s">
        <v>13</v>
      </c>
      <c r="D617">
        <v>3244</v>
      </c>
      <c r="E617" t="s">
        <v>14</v>
      </c>
      <c r="F617" s="2" t="str">
        <f t="shared" si="27"/>
        <v>Feb</v>
      </c>
      <c r="G617" s="2">
        <f t="shared" si="28"/>
        <v>2022</v>
      </c>
      <c r="H617" s="2">
        <f t="shared" si="29"/>
        <v>3244</v>
      </c>
    </row>
    <row r="618" spans="1:8" x14ac:dyDescent="0.25">
      <c r="A618" s="1">
        <v>44621</v>
      </c>
      <c r="B618" t="s">
        <v>633</v>
      </c>
      <c r="C618" t="s">
        <v>27</v>
      </c>
      <c r="D618">
        <v>1779.63</v>
      </c>
      <c r="E618" t="s">
        <v>7</v>
      </c>
      <c r="F618" s="2" t="str">
        <f t="shared" si="27"/>
        <v>Mar</v>
      </c>
      <c r="G618" s="2">
        <f t="shared" si="28"/>
        <v>2022</v>
      </c>
      <c r="H618" s="2">
        <f t="shared" si="29"/>
        <v>-1779.63</v>
      </c>
    </row>
    <row r="619" spans="1:8" x14ac:dyDescent="0.25">
      <c r="A619" s="1">
        <v>44622</v>
      </c>
      <c r="B619" t="s">
        <v>634</v>
      </c>
      <c r="C619" t="s">
        <v>20</v>
      </c>
      <c r="D619">
        <v>2735</v>
      </c>
      <c r="E619" t="s">
        <v>14</v>
      </c>
      <c r="F619" s="2" t="str">
        <f t="shared" si="27"/>
        <v>Mar</v>
      </c>
      <c r="G619" s="2">
        <f t="shared" si="28"/>
        <v>2022</v>
      </c>
      <c r="H619" s="2">
        <f t="shared" si="29"/>
        <v>2735</v>
      </c>
    </row>
    <row r="620" spans="1:8" x14ac:dyDescent="0.25">
      <c r="A620" s="1">
        <v>44624</v>
      </c>
      <c r="B620" t="s">
        <v>635</v>
      </c>
      <c r="C620" t="s">
        <v>13</v>
      </c>
      <c r="D620">
        <v>3208</v>
      </c>
      <c r="E620" t="s">
        <v>14</v>
      </c>
      <c r="F620" s="2" t="str">
        <f t="shared" si="27"/>
        <v>Mar</v>
      </c>
      <c r="G620" s="2">
        <f t="shared" si="28"/>
        <v>2022</v>
      </c>
      <c r="H620" s="2">
        <f t="shared" si="29"/>
        <v>3208</v>
      </c>
    </row>
    <row r="621" spans="1:8" x14ac:dyDescent="0.25">
      <c r="A621" s="1">
        <v>44625</v>
      </c>
      <c r="B621" t="s">
        <v>636</v>
      </c>
      <c r="C621" t="s">
        <v>20</v>
      </c>
      <c r="D621">
        <v>2607</v>
      </c>
      <c r="E621" t="s">
        <v>14</v>
      </c>
      <c r="F621" s="2" t="str">
        <f t="shared" si="27"/>
        <v>Mar</v>
      </c>
      <c r="G621" s="2">
        <f t="shared" si="28"/>
        <v>2022</v>
      </c>
      <c r="H621" s="2">
        <f t="shared" si="29"/>
        <v>2607</v>
      </c>
    </row>
    <row r="622" spans="1:8" x14ac:dyDescent="0.25">
      <c r="A622" s="1">
        <v>44627</v>
      </c>
      <c r="B622" t="s">
        <v>637</v>
      </c>
      <c r="C622" t="s">
        <v>6</v>
      </c>
      <c r="D622">
        <v>1475.87</v>
      </c>
      <c r="E622" t="s">
        <v>7</v>
      </c>
      <c r="F622" s="2" t="str">
        <f t="shared" si="27"/>
        <v>Mar</v>
      </c>
      <c r="G622" s="2">
        <f t="shared" si="28"/>
        <v>2022</v>
      </c>
      <c r="H622" s="2">
        <f t="shared" si="29"/>
        <v>-1475.87</v>
      </c>
    </row>
    <row r="623" spans="1:8" x14ac:dyDescent="0.25">
      <c r="A623" s="1">
        <v>44627</v>
      </c>
      <c r="B623" t="s">
        <v>638</v>
      </c>
      <c r="C623" t="s">
        <v>22</v>
      </c>
      <c r="D623">
        <v>359.23</v>
      </c>
      <c r="E623" t="s">
        <v>7</v>
      </c>
      <c r="F623" s="2" t="str">
        <f t="shared" si="27"/>
        <v>Mar</v>
      </c>
      <c r="G623" s="2">
        <f t="shared" si="28"/>
        <v>2022</v>
      </c>
      <c r="H623" s="2">
        <f t="shared" si="29"/>
        <v>-359.23</v>
      </c>
    </row>
    <row r="624" spans="1:8" x14ac:dyDescent="0.25">
      <c r="A624" s="1">
        <v>44632</v>
      </c>
      <c r="B624" t="s">
        <v>639</v>
      </c>
      <c r="C624" t="s">
        <v>17</v>
      </c>
      <c r="D624">
        <v>1655.71</v>
      </c>
      <c r="E624" t="s">
        <v>7</v>
      </c>
      <c r="F624" s="2" t="str">
        <f t="shared" si="27"/>
        <v>Mar</v>
      </c>
      <c r="G624" s="2">
        <f t="shared" si="28"/>
        <v>2022</v>
      </c>
      <c r="H624" s="2">
        <f t="shared" si="29"/>
        <v>-1655.71</v>
      </c>
    </row>
    <row r="625" spans="1:8" x14ac:dyDescent="0.25">
      <c r="A625" s="1">
        <v>44634</v>
      </c>
      <c r="B625" t="s">
        <v>640</v>
      </c>
      <c r="C625" t="s">
        <v>11</v>
      </c>
      <c r="D625">
        <v>807.66</v>
      </c>
      <c r="E625" t="s">
        <v>7</v>
      </c>
      <c r="F625" s="2" t="str">
        <f t="shared" si="27"/>
        <v>Mar</v>
      </c>
      <c r="G625" s="2">
        <f t="shared" si="28"/>
        <v>2022</v>
      </c>
      <c r="H625" s="2">
        <f t="shared" si="29"/>
        <v>-807.66</v>
      </c>
    </row>
    <row r="626" spans="1:8" x14ac:dyDescent="0.25">
      <c r="A626" s="1">
        <v>44637</v>
      </c>
      <c r="B626" t="s">
        <v>641</v>
      </c>
      <c r="C626" t="s">
        <v>13</v>
      </c>
      <c r="D626">
        <v>4411</v>
      </c>
      <c r="E626" t="s">
        <v>14</v>
      </c>
      <c r="F626" s="2" t="str">
        <f t="shared" si="27"/>
        <v>Mar</v>
      </c>
      <c r="G626" s="2">
        <f t="shared" si="28"/>
        <v>2022</v>
      </c>
      <c r="H626" s="2">
        <f t="shared" si="29"/>
        <v>4411</v>
      </c>
    </row>
    <row r="627" spans="1:8" x14ac:dyDescent="0.25">
      <c r="A627" s="1">
        <v>44637</v>
      </c>
      <c r="B627" t="s">
        <v>642</v>
      </c>
      <c r="C627" t="s">
        <v>22</v>
      </c>
      <c r="D627">
        <v>23.59</v>
      </c>
      <c r="E627" t="s">
        <v>7</v>
      </c>
      <c r="F627" s="2" t="str">
        <f t="shared" si="27"/>
        <v>Mar</v>
      </c>
      <c r="G627" s="2">
        <f t="shared" si="28"/>
        <v>2022</v>
      </c>
      <c r="H627" s="2">
        <f t="shared" si="29"/>
        <v>-23.59</v>
      </c>
    </row>
    <row r="628" spans="1:8" x14ac:dyDescent="0.25">
      <c r="A628" s="1">
        <v>44638</v>
      </c>
      <c r="B628" t="s">
        <v>643</v>
      </c>
      <c r="C628" t="s">
        <v>27</v>
      </c>
      <c r="D628">
        <v>1509.98</v>
      </c>
      <c r="E628" t="s">
        <v>7</v>
      </c>
      <c r="F628" s="2" t="str">
        <f t="shared" si="27"/>
        <v>Mar</v>
      </c>
      <c r="G628" s="2">
        <f t="shared" si="28"/>
        <v>2022</v>
      </c>
      <c r="H628" s="2">
        <f t="shared" si="29"/>
        <v>-1509.98</v>
      </c>
    </row>
    <row r="629" spans="1:8" x14ac:dyDescent="0.25">
      <c r="A629" s="1">
        <v>44638</v>
      </c>
      <c r="B629" t="s">
        <v>644</v>
      </c>
      <c r="C629" t="s">
        <v>35</v>
      </c>
      <c r="D629">
        <v>1169.0999999999999</v>
      </c>
      <c r="E629" t="s">
        <v>7</v>
      </c>
      <c r="F629" s="2" t="str">
        <f t="shared" si="27"/>
        <v>Mar</v>
      </c>
      <c r="G629" s="2">
        <f t="shared" si="28"/>
        <v>2022</v>
      </c>
      <c r="H629" s="2">
        <f t="shared" si="29"/>
        <v>-1169.0999999999999</v>
      </c>
    </row>
    <row r="630" spans="1:8" x14ac:dyDescent="0.25">
      <c r="A630" s="1">
        <v>44638</v>
      </c>
      <c r="B630" t="s">
        <v>645</v>
      </c>
      <c r="C630" t="s">
        <v>35</v>
      </c>
      <c r="D630">
        <v>1310.83</v>
      </c>
      <c r="E630" t="s">
        <v>7</v>
      </c>
      <c r="F630" s="2" t="str">
        <f t="shared" si="27"/>
        <v>Mar</v>
      </c>
      <c r="G630" s="2">
        <f t="shared" si="28"/>
        <v>2022</v>
      </c>
      <c r="H630" s="2">
        <f t="shared" si="29"/>
        <v>-1310.83</v>
      </c>
    </row>
    <row r="631" spans="1:8" x14ac:dyDescent="0.25">
      <c r="A631" s="1">
        <v>44640</v>
      </c>
      <c r="B631" t="s">
        <v>646</v>
      </c>
      <c r="C631" t="s">
        <v>6</v>
      </c>
      <c r="D631">
        <v>1338.89</v>
      </c>
      <c r="E631" t="s">
        <v>7</v>
      </c>
      <c r="F631" s="2" t="str">
        <f t="shared" si="27"/>
        <v>Mar</v>
      </c>
      <c r="G631" s="2">
        <f t="shared" si="28"/>
        <v>2022</v>
      </c>
      <c r="H631" s="2">
        <f t="shared" si="29"/>
        <v>-1338.89</v>
      </c>
    </row>
    <row r="632" spans="1:8" x14ac:dyDescent="0.25">
      <c r="A632" s="1">
        <v>44640</v>
      </c>
      <c r="B632" t="s">
        <v>647</v>
      </c>
      <c r="C632" t="s">
        <v>9</v>
      </c>
      <c r="D632">
        <v>816.78</v>
      </c>
      <c r="E632" t="s">
        <v>7</v>
      </c>
      <c r="F632" s="2" t="str">
        <f t="shared" si="27"/>
        <v>Mar</v>
      </c>
      <c r="G632" s="2">
        <f t="shared" si="28"/>
        <v>2022</v>
      </c>
      <c r="H632" s="2">
        <f t="shared" si="29"/>
        <v>-816.78</v>
      </c>
    </row>
    <row r="633" spans="1:8" x14ac:dyDescent="0.25">
      <c r="A633" s="1">
        <v>44642</v>
      </c>
      <c r="B633" t="s">
        <v>648</v>
      </c>
      <c r="C633" t="s">
        <v>35</v>
      </c>
      <c r="D633">
        <v>1383.68</v>
      </c>
      <c r="E633" t="s">
        <v>7</v>
      </c>
      <c r="F633" s="2" t="str">
        <f t="shared" si="27"/>
        <v>Mar</v>
      </c>
      <c r="G633" s="2">
        <f t="shared" si="28"/>
        <v>2022</v>
      </c>
      <c r="H633" s="2">
        <f t="shared" si="29"/>
        <v>-1383.68</v>
      </c>
    </row>
    <row r="634" spans="1:8" x14ac:dyDescent="0.25">
      <c r="A634" s="1">
        <v>44643</v>
      </c>
      <c r="B634" t="s">
        <v>649</v>
      </c>
      <c r="C634" t="s">
        <v>35</v>
      </c>
      <c r="D634">
        <v>741.41</v>
      </c>
      <c r="E634" t="s">
        <v>7</v>
      </c>
      <c r="F634" s="2" t="str">
        <f t="shared" si="27"/>
        <v>Mar</v>
      </c>
      <c r="G634" s="2">
        <f t="shared" si="28"/>
        <v>2022</v>
      </c>
      <c r="H634" s="2">
        <f t="shared" si="29"/>
        <v>-741.41</v>
      </c>
    </row>
    <row r="635" spans="1:8" x14ac:dyDescent="0.25">
      <c r="A635" s="1">
        <v>44643</v>
      </c>
      <c r="B635" t="s">
        <v>650</v>
      </c>
      <c r="C635" t="s">
        <v>9</v>
      </c>
      <c r="D635">
        <v>961.58</v>
      </c>
      <c r="E635" t="s">
        <v>7</v>
      </c>
      <c r="F635" s="2" t="str">
        <f t="shared" si="27"/>
        <v>Mar</v>
      </c>
      <c r="G635" s="2">
        <f t="shared" si="28"/>
        <v>2022</v>
      </c>
      <c r="H635" s="2">
        <f t="shared" si="29"/>
        <v>-961.58</v>
      </c>
    </row>
    <row r="636" spans="1:8" x14ac:dyDescent="0.25">
      <c r="A636" s="1">
        <v>44644</v>
      </c>
      <c r="B636" t="s">
        <v>651</v>
      </c>
      <c r="C636" t="s">
        <v>25</v>
      </c>
      <c r="D636">
        <v>837.53</v>
      </c>
      <c r="E636" t="s">
        <v>7</v>
      </c>
      <c r="F636" s="2" t="str">
        <f t="shared" si="27"/>
        <v>Mar</v>
      </c>
      <c r="G636" s="2">
        <f t="shared" si="28"/>
        <v>2022</v>
      </c>
      <c r="H636" s="2">
        <f t="shared" si="29"/>
        <v>-837.53</v>
      </c>
    </row>
    <row r="637" spans="1:8" x14ac:dyDescent="0.25">
      <c r="A637" s="1">
        <v>44645</v>
      </c>
      <c r="B637" t="s">
        <v>652</v>
      </c>
      <c r="C637" t="s">
        <v>27</v>
      </c>
      <c r="D637">
        <v>1517.13</v>
      </c>
      <c r="E637" t="s">
        <v>7</v>
      </c>
      <c r="F637" s="2" t="str">
        <f t="shared" si="27"/>
        <v>Mar</v>
      </c>
      <c r="G637" s="2">
        <f t="shared" si="28"/>
        <v>2022</v>
      </c>
      <c r="H637" s="2">
        <f t="shared" si="29"/>
        <v>-1517.13</v>
      </c>
    </row>
    <row r="638" spans="1:8" x14ac:dyDescent="0.25">
      <c r="A638" s="1">
        <v>44646</v>
      </c>
      <c r="B638" t="s">
        <v>653</v>
      </c>
      <c r="C638" t="s">
        <v>22</v>
      </c>
      <c r="D638">
        <v>1526.1</v>
      </c>
      <c r="E638" t="s">
        <v>7</v>
      </c>
      <c r="F638" s="2" t="str">
        <f t="shared" si="27"/>
        <v>Mar</v>
      </c>
      <c r="G638" s="2">
        <f t="shared" si="28"/>
        <v>2022</v>
      </c>
      <c r="H638" s="2">
        <f t="shared" si="29"/>
        <v>-1526.1</v>
      </c>
    </row>
    <row r="639" spans="1:8" x14ac:dyDescent="0.25">
      <c r="A639" s="1">
        <v>44647</v>
      </c>
      <c r="B639" t="s">
        <v>654</v>
      </c>
      <c r="C639" t="s">
        <v>11</v>
      </c>
      <c r="D639">
        <v>1055.76</v>
      </c>
      <c r="E639" t="s">
        <v>7</v>
      </c>
      <c r="F639" s="2" t="str">
        <f t="shared" si="27"/>
        <v>Mar</v>
      </c>
      <c r="G639" s="2">
        <f t="shared" si="28"/>
        <v>2022</v>
      </c>
      <c r="H639" s="2">
        <f t="shared" si="29"/>
        <v>-1055.76</v>
      </c>
    </row>
    <row r="640" spans="1:8" x14ac:dyDescent="0.25">
      <c r="A640" s="1">
        <v>44648</v>
      </c>
      <c r="B640" t="s">
        <v>655</v>
      </c>
      <c r="C640" t="s">
        <v>25</v>
      </c>
      <c r="D640">
        <v>165.42</v>
      </c>
      <c r="E640" t="s">
        <v>7</v>
      </c>
      <c r="F640" s="2" t="str">
        <f t="shared" si="27"/>
        <v>Mar</v>
      </c>
      <c r="G640" s="2">
        <f t="shared" si="28"/>
        <v>2022</v>
      </c>
      <c r="H640" s="2">
        <f t="shared" si="29"/>
        <v>-165.42</v>
      </c>
    </row>
    <row r="641" spans="1:8" x14ac:dyDescent="0.25">
      <c r="A641" s="1">
        <v>44648</v>
      </c>
      <c r="B641" t="s">
        <v>656</v>
      </c>
      <c r="C641" t="s">
        <v>6</v>
      </c>
      <c r="D641">
        <v>1659.26</v>
      </c>
      <c r="E641" t="s">
        <v>7</v>
      </c>
      <c r="F641" s="2" t="str">
        <f t="shared" si="27"/>
        <v>Mar</v>
      </c>
      <c r="G641" s="2">
        <f t="shared" si="28"/>
        <v>2022</v>
      </c>
      <c r="H641" s="2">
        <f t="shared" si="29"/>
        <v>-1659.26</v>
      </c>
    </row>
    <row r="642" spans="1:8" x14ac:dyDescent="0.25">
      <c r="A642" s="1">
        <v>44648</v>
      </c>
      <c r="B642" t="s">
        <v>657</v>
      </c>
      <c r="C642" t="s">
        <v>22</v>
      </c>
      <c r="D642">
        <v>1149.68</v>
      </c>
      <c r="E642" t="s">
        <v>7</v>
      </c>
      <c r="F642" s="2" t="str">
        <f t="shared" ref="F642:F705" si="30">TEXT(A642,"mmm")</f>
        <v>Mar</v>
      </c>
      <c r="G642" s="2">
        <f t="shared" ref="G642:G705" si="31">YEAR(A642)</f>
        <v>2022</v>
      </c>
      <c r="H642" s="2">
        <f t="shared" ref="H642:H705" si="32">IF(E642="Income",D642,-D642)</f>
        <v>-1149.68</v>
      </c>
    </row>
    <row r="643" spans="1:8" x14ac:dyDescent="0.25">
      <c r="A643" s="1">
        <v>44648</v>
      </c>
      <c r="B643" t="s">
        <v>658</v>
      </c>
      <c r="C643" t="s">
        <v>20</v>
      </c>
      <c r="D643">
        <v>4762</v>
      </c>
      <c r="E643" t="s">
        <v>14</v>
      </c>
      <c r="F643" s="2" t="str">
        <f t="shared" si="30"/>
        <v>Mar</v>
      </c>
      <c r="G643" s="2">
        <f t="shared" si="31"/>
        <v>2022</v>
      </c>
      <c r="H643" s="2">
        <f t="shared" si="32"/>
        <v>4762</v>
      </c>
    </row>
    <row r="644" spans="1:8" x14ac:dyDescent="0.25">
      <c r="A644" s="1">
        <v>44649</v>
      </c>
      <c r="B644" t="s">
        <v>659</v>
      </c>
      <c r="C644" t="s">
        <v>22</v>
      </c>
      <c r="D644">
        <v>1436.67</v>
      </c>
      <c r="E644" t="s">
        <v>7</v>
      </c>
      <c r="F644" s="2" t="str">
        <f t="shared" si="30"/>
        <v>Mar</v>
      </c>
      <c r="G644" s="2">
        <f t="shared" si="31"/>
        <v>2022</v>
      </c>
      <c r="H644" s="2">
        <f t="shared" si="32"/>
        <v>-1436.67</v>
      </c>
    </row>
    <row r="645" spans="1:8" x14ac:dyDescent="0.25">
      <c r="A645" s="1">
        <v>44649</v>
      </c>
      <c r="B645" t="s">
        <v>660</v>
      </c>
      <c r="C645" t="s">
        <v>27</v>
      </c>
      <c r="D645">
        <v>1619.3</v>
      </c>
      <c r="E645" t="s">
        <v>7</v>
      </c>
      <c r="F645" s="2" t="str">
        <f t="shared" si="30"/>
        <v>Mar</v>
      </c>
      <c r="G645" s="2">
        <f t="shared" si="31"/>
        <v>2022</v>
      </c>
      <c r="H645" s="2">
        <f t="shared" si="32"/>
        <v>-1619.3</v>
      </c>
    </row>
    <row r="646" spans="1:8" x14ac:dyDescent="0.25">
      <c r="A646" s="1">
        <v>44651</v>
      </c>
      <c r="B646" t="s">
        <v>661</v>
      </c>
      <c r="C646" t="s">
        <v>17</v>
      </c>
      <c r="D646">
        <v>919.03</v>
      </c>
      <c r="E646" t="s">
        <v>7</v>
      </c>
      <c r="F646" s="2" t="str">
        <f t="shared" si="30"/>
        <v>Mar</v>
      </c>
      <c r="G646" s="2">
        <f t="shared" si="31"/>
        <v>2022</v>
      </c>
      <c r="H646" s="2">
        <f t="shared" si="32"/>
        <v>-919.03</v>
      </c>
    </row>
    <row r="647" spans="1:8" x14ac:dyDescent="0.25">
      <c r="A647" s="1">
        <v>44651</v>
      </c>
      <c r="B647" t="s">
        <v>662</v>
      </c>
      <c r="C647" t="s">
        <v>20</v>
      </c>
      <c r="D647">
        <v>3024</v>
      </c>
      <c r="E647" t="s">
        <v>14</v>
      </c>
      <c r="F647" s="2" t="str">
        <f t="shared" si="30"/>
        <v>Mar</v>
      </c>
      <c r="G647" s="2">
        <f t="shared" si="31"/>
        <v>2022</v>
      </c>
      <c r="H647" s="2">
        <f t="shared" si="32"/>
        <v>3024</v>
      </c>
    </row>
    <row r="648" spans="1:8" x14ac:dyDescent="0.25">
      <c r="A648" s="1">
        <v>44651</v>
      </c>
      <c r="B648" t="s">
        <v>663</v>
      </c>
      <c r="C648" t="s">
        <v>17</v>
      </c>
      <c r="D648">
        <v>516.37</v>
      </c>
      <c r="E648" t="s">
        <v>7</v>
      </c>
      <c r="F648" s="2" t="str">
        <f t="shared" si="30"/>
        <v>Mar</v>
      </c>
      <c r="G648" s="2">
        <f t="shared" si="31"/>
        <v>2022</v>
      </c>
      <c r="H648" s="2">
        <f t="shared" si="32"/>
        <v>-516.37</v>
      </c>
    </row>
    <row r="649" spans="1:8" x14ac:dyDescent="0.25">
      <c r="A649" s="1">
        <v>44652</v>
      </c>
      <c r="B649" t="s">
        <v>664</v>
      </c>
      <c r="C649" t="s">
        <v>13</v>
      </c>
      <c r="D649">
        <v>1098</v>
      </c>
      <c r="E649" t="s">
        <v>14</v>
      </c>
      <c r="F649" s="2" t="str">
        <f t="shared" si="30"/>
        <v>Apr</v>
      </c>
      <c r="G649" s="2">
        <f t="shared" si="31"/>
        <v>2022</v>
      </c>
      <c r="H649" s="2">
        <f t="shared" si="32"/>
        <v>1098</v>
      </c>
    </row>
    <row r="650" spans="1:8" x14ac:dyDescent="0.25">
      <c r="A650" s="1">
        <v>44652</v>
      </c>
      <c r="B650" t="s">
        <v>665</v>
      </c>
      <c r="C650" t="s">
        <v>20</v>
      </c>
      <c r="D650">
        <v>1022</v>
      </c>
      <c r="E650" t="s">
        <v>14</v>
      </c>
      <c r="F650" s="2" t="str">
        <f t="shared" si="30"/>
        <v>Apr</v>
      </c>
      <c r="G650" s="2">
        <f t="shared" si="31"/>
        <v>2022</v>
      </c>
      <c r="H650" s="2">
        <f t="shared" si="32"/>
        <v>1022</v>
      </c>
    </row>
    <row r="651" spans="1:8" x14ac:dyDescent="0.25">
      <c r="A651" s="1">
        <v>44652</v>
      </c>
      <c r="B651" t="s">
        <v>666</v>
      </c>
      <c r="C651" t="s">
        <v>6</v>
      </c>
      <c r="D651">
        <v>1869.82</v>
      </c>
      <c r="E651" t="s">
        <v>7</v>
      </c>
      <c r="F651" s="2" t="str">
        <f t="shared" si="30"/>
        <v>Apr</v>
      </c>
      <c r="G651" s="2">
        <f t="shared" si="31"/>
        <v>2022</v>
      </c>
      <c r="H651" s="2">
        <f t="shared" si="32"/>
        <v>-1869.82</v>
      </c>
    </row>
    <row r="652" spans="1:8" x14ac:dyDescent="0.25">
      <c r="A652" s="1">
        <v>44652</v>
      </c>
      <c r="B652" t="s">
        <v>667</v>
      </c>
      <c r="C652" t="s">
        <v>20</v>
      </c>
      <c r="D652">
        <v>759</v>
      </c>
      <c r="E652" t="s">
        <v>14</v>
      </c>
      <c r="F652" s="2" t="str">
        <f t="shared" si="30"/>
        <v>Apr</v>
      </c>
      <c r="G652" s="2">
        <f t="shared" si="31"/>
        <v>2022</v>
      </c>
      <c r="H652" s="2">
        <f t="shared" si="32"/>
        <v>759</v>
      </c>
    </row>
    <row r="653" spans="1:8" x14ac:dyDescent="0.25">
      <c r="A653" s="1">
        <v>44653</v>
      </c>
      <c r="B653" t="s">
        <v>668</v>
      </c>
      <c r="C653" t="s">
        <v>9</v>
      </c>
      <c r="D653">
        <v>1540.25</v>
      </c>
      <c r="E653" t="s">
        <v>7</v>
      </c>
      <c r="F653" s="2" t="str">
        <f t="shared" si="30"/>
        <v>Apr</v>
      </c>
      <c r="G653" s="2">
        <f t="shared" si="31"/>
        <v>2022</v>
      </c>
      <c r="H653" s="2">
        <f t="shared" si="32"/>
        <v>-1540.25</v>
      </c>
    </row>
    <row r="654" spans="1:8" x14ac:dyDescent="0.25">
      <c r="A654" s="1">
        <v>44653</v>
      </c>
      <c r="B654" t="s">
        <v>669</v>
      </c>
      <c r="C654" t="s">
        <v>17</v>
      </c>
      <c r="D654">
        <v>755.18</v>
      </c>
      <c r="E654" t="s">
        <v>7</v>
      </c>
      <c r="F654" s="2" t="str">
        <f t="shared" si="30"/>
        <v>Apr</v>
      </c>
      <c r="G654" s="2">
        <f t="shared" si="31"/>
        <v>2022</v>
      </c>
      <c r="H654" s="2">
        <f t="shared" si="32"/>
        <v>-755.18</v>
      </c>
    </row>
    <row r="655" spans="1:8" x14ac:dyDescent="0.25">
      <c r="A655" s="1">
        <v>44654</v>
      </c>
      <c r="B655" t="s">
        <v>670</v>
      </c>
      <c r="C655" t="s">
        <v>27</v>
      </c>
      <c r="D655">
        <v>1740.54</v>
      </c>
      <c r="E655" t="s">
        <v>7</v>
      </c>
      <c r="F655" s="2" t="str">
        <f t="shared" si="30"/>
        <v>Apr</v>
      </c>
      <c r="G655" s="2">
        <f t="shared" si="31"/>
        <v>2022</v>
      </c>
      <c r="H655" s="2">
        <f t="shared" si="32"/>
        <v>-1740.54</v>
      </c>
    </row>
    <row r="656" spans="1:8" x14ac:dyDescent="0.25">
      <c r="A656" s="1">
        <v>44654</v>
      </c>
      <c r="B656" t="s">
        <v>671</v>
      </c>
      <c r="C656" t="s">
        <v>17</v>
      </c>
      <c r="D656">
        <v>169.7</v>
      </c>
      <c r="E656" t="s">
        <v>7</v>
      </c>
      <c r="F656" s="2" t="str">
        <f t="shared" si="30"/>
        <v>Apr</v>
      </c>
      <c r="G656" s="2">
        <f t="shared" si="31"/>
        <v>2022</v>
      </c>
      <c r="H656" s="2">
        <f t="shared" si="32"/>
        <v>-169.7</v>
      </c>
    </row>
    <row r="657" spans="1:8" x14ac:dyDescent="0.25">
      <c r="A657" s="1">
        <v>44655</v>
      </c>
      <c r="B657" t="s">
        <v>672</v>
      </c>
      <c r="C657" t="s">
        <v>9</v>
      </c>
      <c r="D657">
        <v>1310.53</v>
      </c>
      <c r="E657" t="s">
        <v>7</v>
      </c>
      <c r="F657" s="2" t="str">
        <f t="shared" si="30"/>
        <v>Apr</v>
      </c>
      <c r="G657" s="2">
        <f t="shared" si="31"/>
        <v>2022</v>
      </c>
      <c r="H657" s="2">
        <f t="shared" si="32"/>
        <v>-1310.53</v>
      </c>
    </row>
    <row r="658" spans="1:8" x14ac:dyDescent="0.25">
      <c r="A658" s="1">
        <v>44656</v>
      </c>
      <c r="B658" t="s">
        <v>673</v>
      </c>
      <c r="C658" t="s">
        <v>9</v>
      </c>
      <c r="D658">
        <v>1985.77</v>
      </c>
      <c r="E658" t="s">
        <v>7</v>
      </c>
      <c r="F658" s="2" t="str">
        <f t="shared" si="30"/>
        <v>Apr</v>
      </c>
      <c r="G658" s="2">
        <f t="shared" si="31"/>
        <v>2022</v>
      </c>
      <c r="H658" s="2">
        <f t="shared" si="32"/>
        <v>-1985.77</v>
      </c>
    </row>
    <row r="659" spans="1:8" x14ac:dyDescent="0.25">
      <c r="A659" s="1">
        <v>44659</v>
      </c>
      <c r="B659" t="s">
        <v>674</v>
      </c>
      <c r="C659" t="s">
        <v>9</v>
      </c>
      <c r="D659">
        <v>1458.44</v>
      </c>
      <c r="E659" t="s">
        <v>7</v>
      </c>
      <c r="F659" s="2" t="str">
        <f t="shared" si="30"/>
        <v>Apr</v>
      </c>
      <c r="G659" s="2">
        <f t="shared" si="31"/>
        <v>2022</v>
      </c>
      <c r="H659" s="2">
        <f t="shared" si="32"/>
        <v>-1458.44</v>
      </c>
    </row>
    <row r="660" spans="1:8" x14ac:dyDescent="0.25">
      <c r="A660" s="1">
        <v>44660</v>
      </c>
      <c r="B660" t="s">
        <v>675</v>
      </c>
      <c r="C660" t="s">
        <v>6</v>
      </c>
      <c r="D660">
        <v>1514.8</v>
      </c>
      <c r="E660" t="s">
        <v>7</v>
      </c>
      <c r="F660" s="2" t="str">
        <f t="shared" si="30"/>
        <v>Apr</v>
      </c>
      <c r="G660" s="2">
        <f t="shared" si="31"/>
        <v>2022</v>
      </c>
      <c r="H660" s="2">
        <f t="shared" si="32"/>
        <v>-1514.8</v>
      </c>
    </row>
    <row r="661" spans="1:8" x14ac:dyDescent="0.25">
      <c r="A661" s="1">
        <v>44660</v>
      </c>
      <c r="B661" t="s">
        <v>676</v>
      </c>
      <c r="C661" t="s">
        <v>27</v>
      </c>
      <c r="D661">
        <v>1350.26</v>
      </c>
      <c r="E661" t="s">
        <v>7</v>
      </c>
      <c r="F661" s="2" t="str">
        <f t="shared" si="30"/>
        <v>Apr</v>
      </c>
      <c r="G661" s="2">
        <f t="shared" si="31"/>
        <v>2022</v>
      </c>
      <c r="H661" s="2">
        <f t="shared" si="32"/>
        <v>-1350.26</v>
      </c>
    </row>
    <row r="662" spans="1:8" x14ac:dyDescent="0.25">
      <c r="A662" s="1">
        <v>44661</v>
      </c>
      <c r="B662" t="s">
        <v>677</v>
      </c>
      <c r="C662" t="s">
        <v>17</v>
      </c>
      <c r="D662">
        <v>1648.49</v>
      </c>
      <c r="E662" t="s">
        <v>7</v>
      </c>
      <c r="F662" s="2" t="str">
        <f t="shared" si="30"/>
        <v>Apr</v>
      </c>
      <c r="G662" s="2">
        <f t="shared" si="31"/>
        <v>2022</v>
      </c>
      <c r="H662" s="2">
        <f t="shared" si="32"/>
        <v>-1648.49</v>
      </c>
    </row>
    <row r="663" spans="1:8" x14ac:dyDescent="0.25">
      <c r="A663" s="1">
        <v>44661</v>
      </c>
      <c r="B663" t="s">
        <v>678</v>
      </c>
      <c r="C663" t="s">
        <v>25</v>
      </c>
      <c r="D663">
        <v>318.69</v>
      </c>
      <c r="E663" t="s">
        <v>7</v>
      </c>
      <c r="F663" s="2" t="str">
        <f t="shared" si="30"/>
        <v>Apr</v>
      </c>
      <c r="G663" s="2">
        <f t="shared" si="31"/>
        <v>2022</v>
      </c>
      <c r="H663" s="2">
        <f t="shared" si="32"/>
        <v>-318.69</v>
      </c>
    </row>
    <row r="664" spans="1:8" x14ac:dyDescent="0.25">
      <c r="A664" s="1">
        <v>44667</v>
      </c>
      <c r="B664" t="s">
        <v>679</v>
      </c>
      <c r="C664" t="s">
        <v>13</v>
      </c>
      <c r="D664">
        <v>763</v>
      </c>
      <c r="E664" t="s">
        <v>14</v>
      </c>
      <c r="F664" s="2" t="str">
        <f t="shared" si="30"/>
        <v>Apr</v>
      </c>
      <c r="G664" s="2">
        <f t="shared" si="31"/>
        <v>2022</v>
      </c>
      <c r="H664" s="2">
        <f t="shared" si="32"/>
        <v>763</v>
      </c>
    </row>
    <row r="665" spans="1:8" x14ac:dyDescent="0.25">
      <c r="A665" s="1">
        <v>44669</v>
      </c>
      <c r="B665" t="s">
        <v>680</v>
      </c>
      <c r="C665" t="s">
        <v>17</v>
      </c>
      <c r="D665">
        <v>1233.7</v>
      </c>
      <c r="E665" t="s">
        <v>7</v>
      </c>
      <c r="F665" s="2" t="str">
        <f t="shared" si="30"/>
        <v>Apr</v>
      </c>
      <c r="G665" s="2">
        <f t="shared" si="31"/>
        <v>2022</v>
      </c>
      <c r="H665" s="2">
        <f t="shared" si="32"/>
        <v>-1233.7</v>
      </c>
    </row>
    <row r="666" spans="1:8" x14ac:dyDescent="0.25">
      <c r="A666" s="1">
        <v>44669</v>
      </c>
      <c r="B666" t="s">
        <v>681</v>
      </c>
      <c r="C666" t="s">
        <v>6</v>
      </c>
      <c r="D666">
        <v>488.93</v>
      </c>
      <c r="E666" t="s">
        <v>7</v>
      </c>
      <c r="F666" s="2" t="str">
        <f t="shared" si="30"/>
        <v>Apr</v>
      </c>
      <c r="G666" s="2">
        <f t="shared" si="31"/>
        <v>2022</v>
      </c>
      <c r="H666" s="2">
        <f t="shared" si="32"/>
        <v>-488.93</v>
      </c>
    </row>
    <row r="667" spans="1:8" x14ac:dyDescent="0.25">
      <c r="A667" s="1">
        <v>44672</v>
      </c>
      <c r="B667" t="s">
        <v>682</v>
      </c>
      <c r="C667" t="s">
        <v>13</v>
      </c>
      <c r="D667">
        <v>4157</v>
      </c>
      <c r="E667" t="s">
        <v>14</v>
      </c>
      <c r="F667" s="2" t="str">
        <f t="shared" si="30"/>
        <v>Apr</v>
      </c>
      <c r="G667" s="2">
        <f t="shared" si="31"/>
        <v>2022</v>
      </c>
      <c r="H667" s="2">
        <f t="shared" si="32"/>
        <v>4157</v>
      </c>
    </row>
    <row r="668" spans="1:8" x14ac:dyDescent="0.25">
      <c r="A668" s="1">
        <v>44673</v>
      </c>
      <c r="B668" t="s">
        <v>683</v>
      </c>
      <c r="C668" t="s">
        <v>6</v>
      </c>
      <c r="D668">
        <v>497.02</v>
      </c>
      <c r="E668" t="s">
        <v>7</v>
      </c>
      <c r="F668" s="2" t="str">
        <f t="shared" si="30"/>
        <v>Apr</v>
      </c>
      <c r="G668" s="2">
        <f t="shared" si="31"/>
        <v>2022</v>
      </c>
      <c r="H668" s="2">
        <f t="shared" si="32"/>
        <v>-497.02</v>
      </c>
    </row>
    <row r="669" spans="1:8" x14ac:dyDescent="0.25">
      <c r="A669" s="1">
        <v>44673</v>
      </c>
      <c r="B669" t="s">
        <v>684</v>
      </c>
      <c r="C669" t="s">
        <v>20</v>
      </c>
      <c r="D669">
        <v>2419</v>
      </c>
      <c r="E669" t="s">
        <v>14</v>
      </c>
      <c r="F669" s="2" t="str">
        <f t="shared" si="30"/>
        <v>Apr</v>
      </c>
      <c r="G669" s="2">
        <f t="shared" si="31"/>
        <v>2022</v>
      </c>
      <c r="H669" s="2">
        <f t="shared" si="32"/>
        <v>2419</v>
      </c>
    </row>
    <row r="670" spans="1:8" x14ac:dyDescent="0.25">
      <c r="A670" s="1">
        <v>44675</v>
      </c>
      <c r="B670" t="s">
        <v>685</v>
      </c>
      <c r="C670" t="s">
        <v>6</v>
      </c>
      <c r="D670">
        <v>288.87</v>
      </c>
      <c r="E670" t="s">
        <v>7</v>
      </c>
      <c r="F670" s="2" t="str">
        <f t="shared" si="30"/>
        <v>Apr</v>
      </c>
      <c r="G670" s="2">
        <f t="shared" si="31"/>
        <v>2022</v>
      </c>
      <c r="H670" s="2">
        <f t="shared" si="32"/>
        <v>-288.87</v>
      </c>
    </row>
    <row r="671" spans="1:8" x14ac:dyDescent="0.25">
      <c r="A671" s="1">
        <v>44675</v>
      </c>
      <c r="B671" t="s">
        <v>686</v>
      </c>
      <c r="C671" t="s">
        <v>22</v>
      </c>
      <c r="D671">
        <v>1633.41</v>
      </c>
      <c r="E671" t="s">
        <v>7</v>
      </c>
      <c r="F671" s="2" t="str">
        <f t="shared" si="30"/>
        <v>Apr</v>
      </c>
      <c r="G671" s="2">
        <f t="shared" si="31"/>
        <v>2022</v>
      </c>
      <c r="H671" s="2">
        <f t="shared" si="32"/>
        <v>-1633.41</v>
      </c>
    </row>
    <row r="672" spans="1:8" x14ac:dyDescent="0.25">
      <c r="A672" s="1">
        <v>44680</v>
      </c>
      <c r="B672" t="s">
        <v>687</v>
      </c>
      <c r="C672" t="s">
        <v>25</v>
      </c>
      <c r="D672">
        <v>1159.17</v>
      </c>
      <c r="E672" t="s">
        <v>7</v>
      </c>
      <c r="F672" s="2" t="str">
        <f t="shared" si="30"/>
        <v>Apr</v>
      </c>
      <c r="G672" s="2">
        <f t="shared" si="31"/>
        <v>2022</v>
      </c>
      <c r="H672" s="2">
        <f t="shared" si="32"/>
        <v>-1159.17</v>
      </c>
    </row>
    <row r="673" spans="1:8" x14ac:dyDescent="0.25">
      <c r="A673" s="1">
        <v>44681</v>
      </c>
      <c r="B673" t="s">
        <v>688</v>
      </c>
      <c r="C673" t="s">
        <v>25</v>
      </c>
      <c r="D673">
        <v>481.44</v>
      </c>
      <c r="E673" t="s">
        <v>7</v>
      </c>
      <c r="F673" s="2" t="str">
        <f t="shared" si="30"/>
        <v>Apr</v>
      </c>
      <c r="G673" s="2">
        <f t="shared" si="31"/>
        <v>2022</v>
      </c>
      <c r="H673" s="2">
        <f t="shared" si="32"/>
        <v>-481.44</v>
      </c>
    </row>
    <row r="674" spans="1:8" x14ac:dyDescent="0.25">
      <c r="A674" s="1">
        <v>44683</v>
      </c>
      <c r="B674" t="s">
        <v>689</v>
      </c>
      <c r="C674" t="s">
        <v>22</v>
      </c>
      <c r="D674">
        <v>832.98</v>
      </c>
      <c r="E674" t="s">
        <v>7</v>
      </c>
      <c r="F674" s="2" t="str">
        <f t="shared" si="30"/>
        <v>May</v>
      </c>
      <c r="G674" s="2">
        <f t="shared" si="31"/>
        <v>2022</v>
      </c>
      <c r="H674" s="2">
        <f t="shared" si="32"/>
        <v>-832.98</v>
      </c>
    </row>
    <row r="675" spans="1:8" x14ac:dyDescent="0.25">
      <c r="A675" s="1">
        <v>44683</v>
      </c>
      <c r="B675" t="s">
        <v>690</v>
      </c>
      <c r="C675" t="s">
        <v>9</v>
      </c>
      <c r="D675">
        <v>1255.73</v>
      </c>
      <c r="E675" t="s">
        <v>7</v>
      </c>
      <c r="F675" s="2" t="str">
        <f t="shared" si="30"/>
        <v>May</v>
      </c>
      <c r="G675" s="2">
        <f t="shared" si="31"/>
        <v>2022</v>
      </c>
      <c r="H675" s="2">
        <f t="shared" si="32"/>
        <v>-1255.73</v>
      </c>
    </row>
    <row r="676" spans="1:8" x14ac:dyDescent="0.25">
      <c r="A676" s="1">
        <v>44684</v>
      </c>
      <c r="B676" t="s">
        <v>691</v>
      </c>
      <c r="C676" t="s">
        <v>27</v>
      </c>
      <c r="D676">
        <v>103.3</v>
      </c>
      <c r="E676" t="s">
        <v>7</v>
      </c>
      <c r="F676" s="2" t="str">
        <f t="shared" si="30"/>
        <v>May</v>
      </c>
      <c r="G676" s="2">
        <f t="shared" si="31"/>
        <v>2022</v>
      </c>
      <c r="H676" s="2">
        <f t="shared" si="32"/>
        <v>-103.3</v>
      </c>
    </row>
    <row r="677" spans="1:8" x14ac:dyDescent="0.25">
      <c r="A677" s="1">
        <v>44686</v>
      </c>
      <c r="B677" t="s">
        <v>692</v>
      </c>
      <c r="C677" t="s">
        <v>17</v>
      </c>
      <c r="D677">
        <v>1573.75</v>
      </c>
      <c r="E677" t="s">
        <v>7</v>
      </c>
      <c r="F677" s="2" t="str">
        <f t="shared" si="30"/>
        <v>May</v>
      </c>
      <c r="G677" s="2">
        <f t="shared" si="31"/>
        <v>2022</v>
      </c>
      <c r="H677" s="2">
        <f t="shared" si="32"/>
        <v>-1573.75</v>
      </c>
    </row>
    <row r="678" spans="1:8" x14ac:dyDescent="0.25">
      <c r="A678" s="1">
        <v>44686</v>
      </c>
      <c r="B678" t="s">
        <v>693</v>
      </c>
      <c r="C678" t="s">
        <v>17</v>
      </c>
      <c r="D678">
        <v>822.44</v>
      </c>
      <c r="E678" t="s">
        <v>7</v>
      </c>
      <c r="F678" s="2" t="str">
        <f t="shared" si="30"/>
        <v>May</v>
      </c>
      <c r="G678" s="2">
        <f t="shared" si="31"/>
        <v>2022</v>
      </c>
      <c r="H678" s="2">
        <f t="shared" si="32"/>
        <v>-822.44</v>
      </c>
    </row>
    <row r="679" spans="1:8" x14ac:dyDescent="0.25">
      <c r="A679" s="1">
        <v>44687</v>
      </c>
      <c r="B679" t="s">
        <v>694</v>
      </c>
      <c r="C679" t="s">
        <v>9</v>
      </c>
      <c r="D679">
        <v>1511.29</v>
      </c>
      <c r="E679" t="s">
        <v>7</v>
      </c>
      <c r="F679" s="2" t="str">
        <f t="shared" si="30"/>
        <v>May</v>
      </c>
      <c r="G679" s="2">
        <f t="shared" si="31"/>
        <v>2022</v>
      </c>
      <c r="H679" s="2">
        <f t="shared" si="32"/>
        <v>-1511.29</v>
      </c>
    </row>
    <row r="680" spans="1:8" x14ac:dyDescent="0.25">
      <c r="A680" s="1">
        <v>44688</v>
      </c>
      <c r="B680" t="s">
        <v>695</v>
      </c>
      <c r="C680" t="s">
        <v>22</v>
      </c>
      <c r="D680">
        <v>608.47</v>
      </c>
      <c r="E680" t="s">
        <v>7</v>
      </c>
      <c r="F680" s="2" t="str">
        <f t="shared" si="30"/>
        <v>May</v>
      </c>
      <c r="G680" s="2">
        <f t="shared" si="31"/>
        <v>2022</v>
      </c>
      <c r="H680" s="2">
        <f t="shared" si="32"/>
        <v>-608.47</v>
      </c>
    </row>
    <row r="681" spans="1:8" x14ac:dyDescent="0.25">
      <c r="A681" s="1">
        <v>44688</v>
      </c>
      <c r="B681" t="s">
        <v>696</v>
      </c>
      <c r="C681" t="s">
        <v>27</v>
      </c>
      <c r="D681">
        <v>1830.33</v>
      </c>
      <c r="E681" t="s">
        <v>7</v>
      </c>
      <c r="F681" s="2" t="str">
        <f t="shared" si="30"/>
        <v>May</v>
      </c>
      <c r="G681" s="2">
        <f t="shared" si="31"/>
        <v>2022</v>
      </c>
      <c r="H681" s="2">
        <f t="shared" si="32"/>
        <v>-1830.33</v>
      </c>
    </row>
    <row r="682" spans="1:8" x14ac:dyDescent="0.25">
      <c r="A682" s="1">
        <v>44688</v>
      </c>
      <c r="B682" t="s">
        <v>697</v>
      </c>
      <c r="C682" t="s">
        <v>17</v>
      </c>
      <c r="D682">
        <v>1119</v>
      </c>
      <c r="E682" t="s">
        <v>7</v>
      </c>
      <c r="F682" s="2" t="str">
        <f t="shared" si="30"/>
        <v>May</v>
      </c>
      <c r="G682" s="2">
        <f t="shared" si="31"/>
        <v>2022</v>
      </c>
      <c r="H682" s="2">
        <f t="shared" si="32"/>
        <v>-1119</v>
      </c>
    </row>
    <row r="683" spans="1:8" x14ac:dyDescent="0.25">
      <c r="A683" s="1">
        <v>44689</v>
      </c>
      <c r="B683" t="s">
        <v>698</v>
      </c>
      <c r="C683" t="s">
        <v>13</v>
      </c>
      <c r="D683">
        <v>2588</v>
      </c>
      <c r="E683" t="s">
        <v>14</v>
      </c>
      <c r="F683" s="2" t="str">
        <f t="shared" si="30"/>
        <v>May</v>
      </c>
      <c r="G683" s="2">
        <f t="shared" si="31"/>
        <v>2022</v>
      </c>
      <c r="H683" s="2">
        <f t="shared" si="32"/>
        <v>2588</v>
      </c>
    </row>
    <row r="684" spans="1:8" x14ac:dyDescent="0.25">
      <c r="A684" s="1">
        <v>44689</v>
      </c>
      <c r="B684" t="s">
        <v>699</v>
      </c>
      <c r="C684" t="s">
        <v>11</v>
      </c>
      <c r="D684">
        <v>1845.23</v>
      </c>
      <c r="E684" t="s">
        <v>7</v>
      </c>
      <c r="F684" s="2" t="str">
        <f t="shared" si="30"/>
        <v>May</v>
      </c>
      <c r="G684" s="2">
        <f t="shared" si="31"/>
        <v>2022</v>
      </c>
      <c r="H684" s="2">
        <f t="shared" si="32"/>
        <v>-1845.23</v>
      </c>
    </row>
    <row r="685" spans="1:8" x14ac:dyDescent="0.25">
      <c r="A685" s="1">
        <v>44690</v>
      </c>
      <c r="B685" t="s">
        <v>700</v>
      </c>
      <c r="C685" t="s">
        <v>11</v>
      </c>
      <c r="D685">
        <v>1075.9100000000001</v>
      </c>
      <c r="E685" t="s">
        <v>7</v>
      </c>
      <c r="F685" s="2" t="str">
        <f t="shared" si="30"/>
        <v>May</v>
      </c>
      <c r="G685" s="2">
        <f t="shared" si="31"/>
        <v>2022</v>
      </c>
      <c r="H685" s="2">
        <f t="shared" si="32"/>
        <v>-1075.9100000000001</v>
      </c>
    </row>
    <row r="686" spans="1:8" x14ac:dyDescent="0.25">
      <c r="A686" s="1">
        <v>44690</v>
      </c>
      <c r="B686" t="s">
        <v>701</v>
      </c>
      <c r="C686" t="s">
        <v>6</v>
      </c>
      <c r="D686">
        <v>544.24</v>
      </c>
      <c r="E686" t="s">
        <v>7</v>
      </c>
      <c r="F686" s="2" t="str">
        <f t="shared" si="30"/>
        <v>May</v>
      </c>
      <c r="G686" s="2">
        <f t="shared" si="31"/>
        <v>2022</v>
      </c>
      <c r="H686" s="2">
        <f t="shared" si="32"/>
        <v>-544.24</v>
      </c>
    </row>
    <row r="687" spans="1:8" x14ac:dyDescent="0.25">
      <c r="A687" s="1">
        <v>44692</v>
      </c>
      <c r="B687" t="s">
        <v>702</v>
      </c>
      <c r="C687" t="s">
        <v>6</v>
      </c>
      <c r="D687">
        <v>1748.5</v>
      </c>
      <c r="E687" t="s">
        <v>7</v>
      </c>
      <c r="F687" s="2" t="str">
        <f t="shared" si="30"/>
        <v>May</v>
      </c>
      <c r="G687" s="2">
        <f t="shared" si="31"/>
        <v>2022</v>
      </c>
      <c r="H687" s="2">
        <f t="shared" si="32"/>
        <v>-1748.5</v>
      </c>
    </row>
    <row r="688" spans="1:8" x14ac:dyDescent="0.25">
      <c r="A688" s="1">
        <v>44694</v>
      </c>
      <c r="B688" t="s">
        <v>703</v>
      </c>
      <c r="C688" t="s">
        <v>13</v>
      </c>
      <c r="D688">
        <v>4427</v>
      </c>
      <c r="E688" t="s">
        <v>14</v>
      </c>
      <c r="F688" s="2" t="str">
        <f t="shared" si="30"/>
        <v>May</v>
      </c>
      <c r="G688" s="2">
        <f t="shared" si="31"/>
        <v>2022</v>
      </c>
      <c r="H688" s="2">
        <f t="shared" si="32"/>
        <v>4427</v>
      </c>
    </row>
    <row r="689" spans="1:8" x14ac:dyDescent="0.25">
      <c r="A689" s="1">
        <v>44694</v>
      </c>
      <c r="B689" t="s">
        <v>704</v>
      </c>
      <c r="C689" t="s">
        <v>25</v>
      </c>
      <c r="D689">
        <v>613.34</v>
      </c>
      <c r="E689" t="s">
        <v>7</v>
      </c>
      <c r="F689" s="2" t="str">
        <f t="shared" si="30"/>
        <v>May</v>
      </c>
      <c r="G689" s="2">
        <f t="shared" si="31"/>
        <v>2022</v>
      </c>
      <c r="H689" s="2">
        <f t="shared" si="32"/>
        <v>-613.34</v>
      </c>
    </row>
    <row r="690" spans="1:8" x14ac:dyDescent="0.25">
      <c r="A690" s="1">
        <v>44695</v>
      </c>
      <c r="B690" t="s">
        <v>705</v>
      </c>
      <c r="C690" t="s">
        <v>22</v>
      </c>
      <c r="D690">
        <v>1874.95</v>
      </c>
      <c r="E690" t="s">
        <v>7</v>
      </c>
      <c r="F690" s="2" t="str">
        <f t="shared" si="30"/>
        <v>May</v>
      </c>
      <c r="G690" s="2">
        <f t="shared" si="31"/>
        <v>2022</v>
      </c>
      <c r="H690" s="2">
        <f t="shared" si="32"/>
        <v>-1874.95</v>
      </c>
    </row>
    <row r="691" spans="1:8" x14ac:dyDescent="0.25">
      <c r="A691" s="1">
        <v>44700</v>
      </c>
      <c r="B691" t="s">
        <v>706</v>
      </c>
      <c r="C691" t="s">
        <v>11</v>
      </c>
      <c r="D691">
        <v>1496.29</v>
      </c>
      <c r="E691" t="s">
        <v>7</v>
      </c>
      <c r="F691" s="2" t="str">
        <f t="shared" si="30"/>
        <v>May</v>
      </c>
      <c r="G691" s="2">
        <f t="shared" si="31"/>
        <v>2022</v>
      </c>
      <c r="H691" s="2">
        <f t="shared" si="32"/>
        <v>-1496.29</v>
      </c>
    </row>
    <row r="692" spans="1:8" x14ac:dyDescent="0.25">
      <c r="A692" s="1">
        <v>44700</v>
      </c>
      <c r="B692" t="s">
        <v>707</v>
      </c>
      <c r="C692" t="s">
        <v>22</v>
      </c>
      <c r="D692">
        <v>1394.3</v>
      </c>
      <c r="E692" t="s">
        <v>7</v>
      </c>
      <c r="F692" s="2" t="str">
        <f t="shared" si="30"/>
        <v>May</v>
      </c>
      <c r="G692" s="2">
        <f t="shared" si="31"/>
        <v>2022</v>
      </c>
      <c r="H692" s="2">
        <f t="shared" si="32"/>
        <v>-1394.3</v>
      </c>
    </row>
    <row r="693" spans="1:8" x14ac:dyDescent="0.25">
      <c r="A693" s="1">
        <v>44701</v>
      </c>
      <c r="B693" t="s">
        <v>708</v>
      </c>
      <c r="C693" t="s">
        <v>17</v>
      </c>
      <c r="D693">
        <v>1831.1</v>
      </c>
      <c r="E693" t="s">
        <v>7</v>
      </c>
      <c r="F693" s="2" t="str">
        <f t="shared" si="30"/>
        <v>May</v>
      </c>
      <c r="G693" s="2">
        <f t="shared" si="31"/>
        <v>2022</v>
      </c>
      <c r="H693" s="2">
        <f t="shared" si="32"/>
        <v>-1831.1</v>
      </c>
    </row>
    <row r="694" spans="1:8" x14ac:dyDescent="0.25">
      <c r="A694" s="1">
        <v>44701</v>
      </c>
      <c r="B694" t="s">
        <v>709</v>
      </c>
      <c r="C694" t="s">
        <v>35</v>
      </c>
      <c r="D694">
        <v>767.52</v>
      </c>
      <c r="E694" t="s">
        <v>7</v>
      </c>
      <c r="F694" s="2" t="str">
        <f t="shared" si="30"/>
        <v>May</v>
      </c>
      <c r="G694" s="2">
        <f t="shared" si="31"/>
        <v>2022</v>
      </c>
      <c r="H694" s="2">
        <f t="shared" si="32"/>
        <v>-767.52</v>
      </c>
    </row>
    <row r="695" spans="1:8" x14ac:dyDescent="0.25">
      <c r="A695" s="1">
        <v>44703</v>
      </c>
      <c r="B695" t="s">
        <v>710</v>
      </c>
      <c r="C695" t="s">
        <v>25</v>
      </c>
      <c r="D695">
        <v>623.76</v>
      </c>
      <c r="E695" t="s">
        <v>7</v>
      </c>
      <c r="F695" s="2" t="str">
        <f t="shared" si="30"/>
        <v>May</v>
      </c>
      <c r="G695" s="2">
        <f t="shared" si="31"/>
        <v>2022</v>
      </c>
      <c r="H695" s="2">
        <f t="shared" si="32"/>
        <v>-623.76</v>
      </c>
    </row>
    <row r="696" spans="1:8" x14ac:dyDescent="0.25">
      <c r="A696" s="1">
        <v>44704</v>
      </c>
      <c r="B696" t="s">
        <v>711</v>
      </c>
      <c r="C696" t="s">
        <v>27</v>
      </c>
      <c r="D696">
        <v>937.35</v>
      </c>
      <c r="E696" t="s">
        <v>7</v>
      </c>
      <c r="F696" s="2" t="str">
        <f t="shared" si="30"/>
        <v>May</v>
      </c>
      <c r="G696" s="2">
        <f t="shared" si="31"/>
        <v>2022</v>
      </c>
      <c r="H696" s="2">
        <f t="shared" si="32"/>
        <v>-937.35</v>
      </c>
    </row>
    <row r="697" spans="1:8" x14ac:dyDescent="0.25">
      <c r="A697" s="1">
        <v>44705</v>
      </c>
      <c r="B697" t="s">
        <v>712</v>
      </c>
      <c r="C697" t="s">
        <v>27</v>
      </c>
      <c r="D697">
        <v>1525.64</v>
      </c>
      <c r="E697" t="s">
        <v>7</v>
      </c>
      <c r="F697" s="2" t="str">
        <f t="shared" si="30"/>
        <v>May</v>
      </c>
      <c r="G697" s="2">
        <f t="shared" si="31"/>
        <v>2022</v>
      </c>
      <c r="H697" s="2">
        <f t="shared" si="32"/>
        <v>-1525.64</v>
      </c>
    </row>
    <row r="698" spans="1:8" x14ac:dyDescent="0.25">
      <c r="A698" s="1">
        <v>44705</v>
      </c>
      <c r="B698" t="s">
        <v>713</v>
      </c>
      <c r="C698" t="s">
        <v>22</v>
      </c>
      <c r="D698">
        <v>747.7</v>
      </c>
      <c r="E698" t="s">
        <v>7</v>
      </c>
      <c r="F698" s="2" t="str">
        <f t="shared" si="30"/>
        <v>May</v>
      </c>
      <c r="G698" s="2">
        <f t="shared" si="31"/>
        <v>2022</v>
      </c>
      <c r="H698" s="2">
        <f t="shared" si="32"/>
        <v>-747.7</v>
      </c>
    </row>
    <row r="699" spans="1:8" x14ac:dyDescent="0.25">
      <c r="A699" s="1">
        <v>44706</v>
      </c>
      <c r="B699" t="s">
        <v>714</v>
      </c>
      <c r="C699" t="s">
        <v>22</v>
      </c>
      <c r="D699">
        <v>1485.09</v>
      </c>
      <c r="E699" t="s">
        <v>7</v>
      </c>
      <c r="F699" s="2" t="str">
        <f t="shared" si="30"/>
        <v>May</v>
      </c>
      <c r="G699" s="2">
        <f t="shared" si="31"/>
        <v>2022</v>
      </c>
      <c r="H699" s="2">
        <f t="shared" si="32"/>
        <v>-1485.09</v>
      </c>
    </row>
    <row r="700" spans="1:8" x14ac:dyDescent="0.25">
      <c r="A700" s="1">
        <v>44708</v>
      </c>
      <c r="B700" t="s">
        <v>715</v>
      </c>
      <c r="C700" t="s">
        <v>20</v>
      </c>
      <c r="D700">
        <v>2918</v>
      </c>
      <c r="E700" t="s">
        <v>14</v>
      </c>
      <c r="F700" s="2" t="str">
        <f t="shared" si="30"/>
        <v>May</v>
      </c>
      <c r="G700" s="2">
        <f t="shared" si="31"/>
        <v>2022</v>
      </c>
      <c r="H700" s="2">
        <f t="shared" si="32"/>
        <v>2918</v>
      </c>
    </row>
    <row r="701" spans="1:8" x14ac:dyDescent="0.25">
      <c r="A701" s="1">
        <v>44709</v>
      </c>
      <c r="B701" t="s">
        <v>716</v>
      </c>
      <c r="C701" t="s">
        <v>20</v>
      </c>
      <c r="D701">
        <v>2384</v>
      </c>
      <c r="E701" t="s">
        <v>14</v>
      </c>
      <c r="F701" s="2" t="str">
        <f t="shared" si="30"/>
        <v>May</v>
      </c>
      <c r="G701" s="2">
        <f t="shared" si="31"/>
        <v>2022</v>
      </c>
      <c r="H701" s="2">
        <f t="shared" si="32"/>
        <v>2384</v>
      </c>
    </row>
    <row r="702" spans="1:8" x14ac:dyDescent="0.25">
      <c r="A702" s="1">
        <v>44710</v>
      </c>
      <c r="B702" t="s">
        <v>717</v>
      </c>
      <c r="C702" t="s">
        <v>22</v>
      </c>
      <c r="D702">
        <v>1003.61</v>
      </c>
      <c r="E702" t="s">
        <v>7</v>
      </c>
      <c r="F702" s="2" t="str">
        <f t="shared" si="30"/>
        <v>May</v>
      </c>
      <c r="G702" s="2">
        <f t="shared" si="31"/>
        <v>2022</v>
      </c>
      <c r="H702" s="2">
        <f t="shared" si="32"/>
        <v>-1003.61</v>
      </c>
    </row>
    <row r="703" spans="1:8" x14ac:dyDescent="0.25">
      <c r="A703" s="1">
        <v>44710</v>
      </c>
      <c r="B703" t="s">
        <v>718</v>
      </c>
      <c r="C703" t="s">
        <v>25</v>
      </c>
      <c r="D703">
        <v>522.08000000000004</v>
      </c>
      <c r="E703" t="s">
        <v>7</v>
      </c>
      <c r="F703" s="2" t="str">
        <f t="shared" si="30"/>
        <v>May</v>
      </c>
      <c r="G703" s="2">
        <f t="shared" si="31"/>
        <v>2022</v>
      </c>
      <c r="H703" s="2">
        <f t="shared" si="32"/>
        <v>-522.08000000000004</v>
      </c>
    </row>
    <row r="704" spans="1:8" x14ac:dyDescent="0.25">
      <c r="A704" s="1">
        <v>44711</v>
      </c>
      <c r="B704" t="s">
        <v>719</v>
      </c>
      <c r="C704" t="s">
        <v>27</v>
      </c>
      <c r="D704">
        <v>927.05</v>
      </c>
      <c r="E704" t="s">
        <v>7</v>
      </c>
      <c r="F704" s="2" t="str">
        <f t="shared" si="30"/>
        <v>May</v>
      </c>
      <c r="G704" s="2">
        <f t="shared" si="31"/>
        <v>2022</v>
      </c>
      <c r="H704" s="2">
        <f t="shared" si="32"/>
        <v>-927.05</v>
      </c>
    </row>
    <row r="705" spans="1:8" x14ac:dyDescent="0.25">
      <c r="A705" s="1">
        <v>44711</v>
      </c>
      <c r="B705" t="s">
        <v>720</v>
      </c>
      <c r="C705" t="s">
        <v>25</v>
      </c>
      <c r="D705">
        <v>346.84</v>
      </c>
      <c r="E705" t="s">
        <v>7</v>
      </c>
      <c r="F705" s="2" t="str">
        <f t="shared" si="30"/>
        <v>May</v>
      </c>
      <c r="G705" s="2">
        <f t="shared" si="31"/>
        <v>2022</v>
      </c>
      <c r="H705" s="2">
        <f t="shared" si="32"/>
        <v>-346.84</v>
      </c>
    </row>
    <row r="706" spans="1:8" x14ac:dyDescent="0.25">
      <c r="A706" s="1">
        <v>44712</v>
      </c>
      <c r="B706" t="s">
        <v>721</v>
      </c>
      <c r="C706" t="s">
        <v>27</v>
      </c>
      <c r="D706">
        <v>376.26</v>
      </c>
      <c r="E706" t="s">
        <v>7</v>
      </c>
      <c r="F706" s="2" t="str">
        <f t="shared" ref="F706:F769" si="33">TEXT(A706,"mmm")</f>
        <v>May</v>
      </c>
      <c r="G706" s="2">
        <f t="shared" ref="G706:G769" si="34">YEAR(A706)</f>
        <v>2022</v>
      </c>
      <c r="H706" s="2">
        <f t="shared" ref="H706:H769" si="35">IF(E706="Income",D706,-D706)</f>
        <v>-376.26</v>
      </c>
    </row>
    <row r="707" spans="1:8" x14ac:dyDescent="0.25">
      <c r="A707" s="1">
        <v>44713</v>
      </c>
      <c r="B707" t="s">
        <v>722</v>
      </c>
      <c r="C707" t="s">
        <v>6</v>
      </c>
      <c r="D707">
        <v>1052.6500000000001</v>
      </c>
      <c r="E707" t="s">
        <v>7</v>
      </c>
      <c r="F707" s="2" t="str">
        <f t="shared" si="33"/>
        <v>Jun</v>
      </c>
      <c r="G707" s="2">
        <f t="shared" si="34"/>
        <v>2022</v>
      </c>
      <c r="H707" s="2">
        <f t="shared" si="35"/>
        <v>-1052.6500000000001</v>
      </c>
    </row>
    <row r="708" spans="1:8" x14ac:dyDescent="0.25">
      <c r="A708" s="1">
        <v>44713</v>
      </c>
      <c r="B708" t="s">
        <v>723</v>
      </c>
      <c r="C708" t="s">
        <v>11</v>
      </c>
      <c r="D708">
        <v>1890.92</v>
      </c>
      <c r="E708" t="s">
        <v>7</v>
      </c>
      <c r="F708" s="2" t="str">
        <f t="shared" si="33"/>
        <v>Jun</v>
      </c>
      <c r="G708" s="2">
        <f t="shared" si="34"/>
        <v>2022</v>
      </c>
      <c r="H708" s="2">
        <f t="shared" si="35"/>
        <v>-1890.92</v>
      </c>
    </row>
    <row r="709" spans="1:8" x14ac:dyDescent="0.25">
      <c r="A709" s="1">
        <v>44716</v>
      </c>
      <c r="B709" t="s">
        <v>724</v>
      </c>
      <c r="C709" t="s">
        <v>6</v>
      </c>
      <c r="D709">
        <v>830.66</v>
      </c>
      <c r="E709" t="s">
        <v>7</v>
      </c>
      <c r="F709" s="2" t="str">
        <f t="shared" si="33"/>
        <v>Jun</v>
      </c>
      <c r="G709" s="2">
        <f t="shared" si="34"/>
        <v>2022</v>
      </c>
      <c r="H709" s="2">
        <f t="shared" si="35"/>
        <v>-830.66</v>
      </c>
    </row>
    <row r="710" spans="1:8" x14ac:dyDescent="0.25">
      <c r="A710" s="1">
        <v>44716</v>
      </c>
      <c r="B710" t="s">
        <v>725</v>
      </c>
      <c r="C710" t="s">
        <v>22</v>
      </c>
      <c r="D710">
        <v>145.26</v>
      </c>
      <c r="E710" t="s">
        <v>7</v>
      </c>
      <c r="F710" s="2" t="str">
        <f t="shared" si="33"/>
        <v>Jun</v>
      </c>
      <c r="G710" s="2">
        <f t="shared" si="34"/>
        <v>2022</v>
      </c>
      <c r="H710" s="2">
        <f t="shared" si="35"/>
        <v>-145.26</v>
      </c>
    </row>
    <row r="711" spans="1:8" x14ac:dyDescent="0.25">
      <c r="A711" s="1">
        <v>44718</v>
      </c>
      <c r="B711" t="s">
        <v>726</v>
      </c>
      <c r="C711" t="s">
        <v>13</v>
      </c>
      <c r="D711">
        <v>4642</v>
      </c>
      <c r="E711" t="s">
        <v>14</v>
      </c>
      <c r="F711" s="2" t="str">
        <f t="shared" si="33"/>
        <v>Jun</v>
      </c>
      <c r="G711" s="2">
        <f t="shared" si="34"/>
        <v>2022</v>
      </c>
      <c r="H711" s="2">
        <f t="shared" si="35"/>
        <v>4642</v>
      </c>
    </row>
    <row r="712" spans="1:8" x14ac:dyDescent="0.25">
      <c r="A712" s="1">
        <v>44719</v>
      </c>
      <c r="B712" t="s">
        <v>727</v>
      </c>
      <c r="C712" t="s">
        <v>6</v>
      </c>
      <c r="D712">
        <v>1239.49</v>
      </c>
      <c r="E712" t="s">
        <v>7</v>
      </c>
      <c r="F712" s="2" t="str">
        <f t="shared" si="33"/>
        <v>Jun</v>
      </c>
      <c r="G712" s="2">
        <f t="shared" si="34"/>
        <v>2022</v>
      </c>
      <c r="H712" s="2">
        <f t="shared" si="35"/>
        <v>-1239.49</v>
      </c>
    </row>
    <row r="713" spans="1:8" x14ac:dyDescent="0.25">
      <c r="A713" s="1">
        <v>44719</v>
      </c>
      <c r="B713" t="s">
        <v>728</v>
      </c>
      <c r="C713" t="s">
        <v>27</v>
      </c>
      <c r="D713">
        <v>1321.98</v>
      </c>
      <c r="E713" t="s">
        <v>7</v>
      </c>
      <c r="F713" s="2" t="str">
        <f t="shared" si="33"/>
        <v>Jun</v>
      </c>
      <c r="G713" s="2">
        <f t="shared" si="34"/>
        <v>2022</v>
      </c>
      <c r="H713" s="2">
        <f t="shared" si="35"/>
        <v>-1321.98</v>
      </c>
    </row>
    <row r="714" spans="1:8" x14ac:dyDescent="0.25">
      <c r="A714" s="1">
        <v>44723</v>
      </c>
      <c r="B714" t="s">
        <v>729</v>
      </c>
      <c r="C714" t="s">
        <v>20</v>
      </c>
      <c r="D714">
        <v>597</v>
      </c>
      <c r="E714" t="s">
        <v>14</v>
      </c>
      <c r="F714" s="2" t="str">
        <f t="shared" si="33"/>
        <v>Jun</v>
      </c>
      <c r="G714" s="2">
        <f t="shared" si="34"/>
        <v>2022</v>
      </c>
      <c r="H714" s="2">
        <f t="shared" si="35"/>
        <v>597</v>
      </c>
    </row>
    <row r="715" spans="1:8" x14ac:dyDescent="0.25">
      <c r="A715" s="1">
        <v>44723</v>
      </c>
      <c r="B715" t="s">
        <v>730</v>
      </c>
      <c r="C715" t="s">
        <v>20</v>
      </c>
      <c r="D715">
        <v>4888</v>
      </c>
      <c r="E715" t="s">
        <v>14</v>
      </c>
      <c r="F715" s="2" t="str">
        <f t="shared" si="33"/>
        <v>Jun</v>
      </c>
      <c r="G715" s="2">
        <f t="shared" si="34"/>
        <v>2022</v>
      </c>
      <c r="H715" s="2">
        <f t="shared" si="35"/>
        <v>4888</v>
      </c>
    </row>
    <row r="716" spans="1:8" x14ac:dyDescent="0.25">
      <c r="A716" s="1">
        <v>44724</v>
      </c>
      <c r="B716" t="s">
        <v>731</v>
      </c>
      <c r="C716" t="s">
        <v>6</v>
      </c>
      <c r="D716">
        <v>1009.41</v>
      </c>
      <c r="E716" t="s">
        <v>7</v>
      </c>
      <c r="F716" s="2" t="str">
        <f t="shared" si="33"/>
        <v>Jun</v>
      </c>
      <c r="G716" s="2">
        <f t="shared" si="34"/>
        <v>2022</v>
      </c>
      <c r="H716" s="2">
        <f t="shared" si="35"/>
        <v>-1009.41</v>
      </c>
    </row>
    <row r="717" spans="1:8" x14ac:dyDescent="0.25">
      <c r="A717" s="1">
        <v>44724</v>
      </c>
      <c r="B717" t="s">
        <v>732</v>
      </c>
      <c r="C717" t="s">
        <v>17</v>
      </c>
      <c r="D717">
        <v>1614.27</v>
      </c>
      <c r="E717" t="s">
        <v>7</v>
      </c>
      <c r="F717" s="2" t="str">
        <f t="shared" si="33"/>
        <v>Jun</v>
      </c>
      <c r="G717" s="2">
        <f t="shared" si="34"/>
        <v>2022</v>
      </c>
      <c r="H717" s="2">
        <f t="shared" si="35"/>
        <v>-1614.27</v>
      </c>
    </row>
    <row r="718" spans="1:8" x14ac:dyDescent="0.25">
      <c r="A718" s="1">
        <v>44724</v>
      </c>
      <c r="B718" t="s">
        <v>733</v>
      </c>
      <c r="C718" t="s">
        <v>11</v>
      </c>
      <c r="D718">
        <v>1836.92</v>
      </c>
      <c r="E718" t="s">
        <v>7</v>
      </c>
      <c r="F718" s="2" t="str">
        <f t="shared" si="33"/>
        <v>Jun</v>
      </c>
      <c r="G718" s="2">
        <f t="shared" si="34"/>
        <v>2022</v>
      </c>
      <c r="H718" s="2">
        <f t="shared" si="35"/>
        <v>-1836.92</v>
      </c>
    </row>
    <row r="719" spans="1:8" x14ac:dyDescent="0.25">
      <c r="A719" s="1">
        <v>44725</v>
      </c>
      <c r="B719" t="s">
        <v>734</v>
      </c>
      <c r="C719" t="s">
        <v>22</v>
      </c>
      <c r="D719">
        <v>391.94</v>
      </c>
      <c r="E719" t="s">
        <v>7</v>
      </c>
      <c r="F719" s="2" t="str">
        <f t="shared" si="33"/>
        <v>Jun</v>
      </c>
      <c r="G719" s="2">
        <f t="shared" si="34"/>
        <v>2022</v>
      </c>
      <c r="H719" s="2">
        <f t="shared" si="35"/>
        <v>-391.94</v>
      </c>
    </row>
    <row r="720" spans="1:8" x14ac:dyDescent="0.25">
      <c r="A720" s="1">
        <v>44729</v>
      </c>
      <c r="B720" t="s">
        <v>735</v>
      </c>
      <c r="C720" t="s">
        <v>25</v>
      </c>
      <c r="D720">
        <v>541.98</v>
      </c>
      <c r="E720" t="s">
        <v>7</v>
      </c>
      <c r="F720" s="2" t="str">
        <f t="shared" si="33"/>
        <v>Jun</v>
      </c>
      <c r="G720" s="2">
        <f t="shared" si="34"/>
        <v>2022</v>
      </c>
      <c r="H720" s="2">
        <f t="shared" si="35"/>
        <v>-541.98</v>
      </c>
    </row>
    <row r="721" spans="1:8" x14ac:dyDescent="0.25">
      <c r="A721" s="1">
        <v>44729</v>
      </c>
      <c r="B721" t="s">
        <v>736</v>
      </c>
      <c r="C721" t="s">
        <v>25</v>
      </c>
      <c r="D721">
        <v>1919</v>
      </c>
      <c r="E721" t="s">
        <v>7</v>
      </c>
      <c r="F721" s="2" t="str">
        <f t="shared" si="33"/>
        <v>Jun</v>
      </c>
      <c r="G721" s="2">
        <f t="shared" si="34"/>
        <v>2022</v>
      </c>
      <c r="H721" s="2">
        <f t="shared" si="35"/>
        <v>-1919</v>
      </c>
    </row>
    <row r="722" spans="1:8" x14ac:dyDescent="0.25">
      <c r="A722" s="1">
        <v>44730</v>
      </c>
      <c r="B722" t="s">
        <v>737</v>
      </c>
      <c r="C722" t="s">
        <v>22</v>
      </c>
      <c r="D722">
        <v>1980.56</v>
      </c>
      <c r="E722" t="s">
        <v>7</v>
      </c>
      <c r="F722" s="2" t="str">
        <f t="shared" si="33"/>
        <v>Jun</v>
      </c>
      <c r="G722" s="2">
        <f t="shared" si="34"/>
        <v>2022</v>
      </c>
      <c r="H722" s="2">
        <f t="shared" si="35"/>
        <v>-1980.56</v>
      </c>
    </row>
    <row r="723" spans="1:8" x14ac:dyDescent="0.25">
      <c r="A723" s="1">
        <v>44731</v>
      </c>
      <c r="B723" t="s">
        <v>738</v>
      </c>
      <c r="C723" t="s">
        <v>11</v>
      </c>
      <c r="D723">
        <v>1310.93</v>
      </c>
      <c r="E723" t="s">
        <v>7</v>
      </c>
      <c r="F723" s="2" t="str">
        <f t="shared" si="33"/>
        <v>Jun</v>
      </c>
      <c r="G723" s="2">
        <f t="shared" si="34"/>
        <v>2022</v>
      </c>
      <c r="H723" s="2">
        <f t="shared" si="35"/>
        <v>-1310.93</v>
      </c>
    </row>
    <row r="724" spans="1:8" x14ac:dyDescent="0.25">
      <c r="A724" s="1">
        <v>44732</v>
      </c>
      <c r="B724" t="s">
        <v>739</v>
      </c>
      <c r="C724" t="s">
        <v>6</v>
      </c>
      <c r="D724">
        <v>196.07</v>
      </c>
      <c r="E724" t="s">
        <v>7</v>
      </c>
      <c r="F724" s="2" t="str">
        <f t="shared" si="33"/>
        <v>Jun</v>
      </c>
      <c r="G724" s="2">
        <f t="shared" si="34"/>
        <v>2022</v>
      </c>
      <c r="H724" s="2">
        <f t="shared" si="35"/>
        <v>-196.07</v>
      </c>
    </row>
    <row r="725" spans="1:8" x14ac:dyDescent="0.25">
      <c r="A725" s="1">
        <v>44733</v>
      </c>
      <c r="B725" t="s">
        <v>740</v>
      </c>
      <c r="C725" t="s">
        <v>27</v>
      </c>
      <c r="D725">
        <v>121.67</v>
      </c>
      <c r="E725" t="s">
        <v>7</v>
      </c>
      <c r="F725" s="2" t="str">
        <f t="shared" si="33"/>
        <v>Jun</v>
      </c>
      <c r="G725" s="2">
        <f t="shared" si="34"/>
        <v>2022</v>
      </c>
      <c r="H725" s="2">
        <f t="shared" si="35"/>
        <v>-121.67</v>
      </c>
    </row>
    <row r="726" spans="1:8" x14ac:dyDescent="0.25">
      <c r="A726" s="1">
        <v>44733</v>
      </c>
      <c r="B726" t="s">
        <v>741</v>
      </c>
      <c r="C726" t="s">
        <v>13</v>
      </c>
      <c r="D726">
        <v>1177</v>
      </c>
      <c r="E726" t="s">
        <v>14</v>
      </c>
      <c r="F726" s="2" t="str">
        <f t="shared" si="33"/>
        <v>Jun</v>
      </c>
      <c r="G726" s="2">
        <f t="shared" si="34"/>
        <v>2022</v>
      </c>
      <c r="H726" s="2">
        <f t="shared" si="35"/>
        <v>1177</v>
      </c>
    </row>
    <row r="727" spans="1:8" x14ac:dyDescent="0.25">
      <c r="A727" s="1">
        <v>44735</v>
      </c>
      <c r="B727" t="s">
        <v>742</v>
      </c>
      <c r="C727" t="s">
        <v>17</v>
      </c>
      <c r="D727">
        <v>1293.3699999999999</v>
      </c>
      <c r="E727" t="s">
        <v>7</v>
      </c>
      <c r="F727" s="2" t="str">
        <f t="shared" si="33"/>
        <v>Jun</v>
      </c>
      <c r="G727" s="2">
        <f t="shared" si="34"/>
        <v>2022</v>
      </c>
      <c r="H727" s="2">
        <f t="shared" si="35"/>
        <v>-1293.3699999999999</v>
      </c>
    </row>
    <row r="728" spans="1:8" x14ac:dyDescent="0.25">
      <c r="A728" s="1">
        <v>44735</v>
      </c>
      <c r="B728" t="s">
        <v>743</v>
      </c>
      <c r="C728" t="s">
        <v>11</v>
      </c>
      <c r="D728">
        <v>1790.63</v>
      </c>
      <c r="E728" t="s">
        <v>7</v>
      </c>
      <c r="F728" s="2" t="str">
        <f t="shared" si="33"/>
        <v>Jun</v>
      </c>
      <c r="G728" s="2">
        <f t="shared" si="34"/>
        <v>2022</v>
      </c>
      <c r="H728" s="2">
        <f t="shared" si="35"/>
        <v>-1790.63</v>
      </c>
    </row>
    <row r="729" spans="1:8" x14ac:dyDescent="0.25">
      <c r="A729" s="1">
        <v>44737</v>
      </c>
      <c r="B729" t="s">
        <v>744</v>
      </c>
      <c r="C729" t="s">
        <v>22</v>
      </c>
      <c r="D729">
        <v>430.72</v>
      </c>
      <c r="E729" t="s">
        <v>7</v>
      </c>
      <c r="F729" s="2" t="str">
        <f t="shared" si="33"/>
        <v>Jun</v>
      </c>
      <c r="G729" s="2">
        <f t="shared" si="34"/>
        <v>2022</v>
      </c>
      <c r="H729" s="2">
        <f t="shared" si="35"/>
        <v>-430.72</v>
      </c>
    </row>
    <row r="730" spans="1:8" x14ac:dyDescent="0.25">
      <c r="A730" s="1">
        <v>44737</v>
      </c>
      <c r="B730" t="s">
        <v>745</v>
      </c>
      <c r="C730" t="s">
        <v>27</v>
      </c>
      <c r="D730">
        <v>549.48</v>
      </c>
      <c r="E730" t="s">
        <v>7</v>
      </c>
      <c r="F730" s="2" t="str">
        <f t="shared" si="33"/>
        <v>Jun</v>
      </c>
      <c r="G730" s="2">
        <f t="shared" si="34"/>
        <v>2022</v>
      </c>
      <c r="H730" s="2">
        <f t="shared" si="35"/>
        <v>-549.48</v>
      </c>
    </row>
    <row r="731" spans="1:8" x14ac:dyDescent="0.25">
      <c r="A731" s="1">
        <v>44738</v>
      </c>
      <c r="B731" t="s">
        <v>746</v>
      </c>
      <c r="C731" t="s">
        <v>35</v>
      </c>
      <c r="D731">
        <v>1799.63</v>
      </c>
      <c r="E731" t="s">
        <v>7</v>
      </c>
      <c r="F731" s="2" t="str">
        <f t="shared" si="33"/>
        <v>Jun</v>
      </c>
      <c r="G731" s="2">
        <f t="shared" si="34"/>
        <v>2022</v>
      </c>
      <c r="H731" s="2">
        <f t="shared" si="35"/>
        <v>-1799.63</v>
      </c>
    </row>
    <row r="732" spans="1:8" x14ac:dyDescent="0.25">
      <c r="A732" s="1">
        <v>44738</v>
      </c>
      <c r="B732" t="s">
        <v>747</v>
      </c>
      <c r="C732" t="s">
        <v>6</v>
      </c>
      <c r="D732">
        <v>366.92</v>
      </c>
      <c r="E732" t="s">
        <v>7</v>
      </c>
      <c r="F732" s="2" t="str">
        <f t="shared" si="33"/>
        <v>Jun</v>
      </c>
      <c r="G732" s="2">
        <f t="shared" si="34"/>
        <v>2022</v>
      </c>
      <c r="H732" s="2">
        <f t="shared" si="35"/>
        <v>-366.92</v>
      </c>
    </row>
    <row r="733" spans="1:8" x14ac:dyDescent="0.25">
      <c r="A733" s="1">
        <v>44742</v>
      </c>
      <c r="B733" t="s">
        <v>748</v>
      </c>
      <c r="C733" t="s">
        <v>6</v>
      </c>
      <c r="D733">
        <v>1923.32</v>
      </c>
      <c r="E733" t="s">
        <v>7</v>
      </c>
      <c r="F733" s="2" t="str">
        <f t="shared" si="33"/>
        <v>Jun</v>
      </c>
      <c r="G733" s="2">
        <f t="shared" si="34"/>
        <v>2022</v>
      </c>
      <c r="H733" s="2">
        <f t="shared" si="35"/>
        <v>-1923.32</v>
      </c>
    </row>
    <row r="734" spans="1:8" x14ac:dyDescent="0.25">
      <c r="A734" s="1">
        <v>44743</v>
      </c>
      <c r="B734" t="s">
        <v>749</v>
      </c>
      <c r="C734" t="s">
        <v>17</v>
      </c>
      <c r="D734">
        <v>1858.46</v>
      </c>
      <c r="E734" t="s">
        <v>7</v>
      </c>
      <c r="F734" s="2" t="str">
        <f t="shared" si="33"/>
        <v>Jul</v>
      </c>
      <c r="G734" s="2">
        <f t="shared" si="34"/>
        <v>2022</v>
      </c>
      <c r="H734" s="2">
        <f t="shared" si="35"/>
        <v>-1858.46</v>
      </c>
    </row>
    <row r="735" spans="1:8" x14ac:dyDescent="0.25">
      <c r="A735" s="1">
        <v>44744</v>
      </c>
      <c r="B735" t="s">
        <v>750</v>
      </c>
      <c r="C735" t="s">
        <v>22</v>
      </c>
      <c r="D735">
        <v>1137.72</v>
      </c>
      <c r="E735" t="s">
        <v>7</v>
      </c>
      <c r="F735" s="2" t="str">
        <f t="shared" si="33"/>
        <v>Jul</v>
      </c>
      <c r="G735" s="2">
        <f t="shared" si="34"/>
        <v>2022</v>
      </c>
      <c r="H735" s="2">
        <f t="shared" si="35"/>
        <v>-1137.72</v>
      </c>
    </row>
    <row r="736" spans="1:8" x14ac:dyDescent="0.25">
      <c r="A736" s="1">
        <v>44746</v>
      </c>
      <c r="B736" t="s">
        <v>751</v>
      </c>
      <c r="C736" t="s">
        <v>25</v>
      </c>
      <c r="D736">
        <v>773.85</v>
      </c>
      <c r="E736" t="s">
        <v>7</v>
      </c>
      <c r="F736" s="2" t="str">
        <f t="shared" si="33"/>
        <v>Jul</v>
      </c>
      <c r="G736" s="2">
        <f t="shared" si="34"/>
        <v>2022</v>
      </c>
      <c r="H736" s="2">
        <f t="shared" si="35"/>
        <v>-773.85</v>
      </c>
    </row>
    <row r="737" spans="1:8" x14ac:dyDescent="0.25">
      <c r="A737" s="1">
        <v>44746</v>
      </c>
      <c r="B737" t="s">
        <v>752</v>
      </c>
      <c r="C737" t="s">
        <v>11</v>
      </c>
      <c r="D737">
        <v>1006.58</v>
      </c>
      <c r="E737" t="s">
        <v>7</v>
      </c>
      <c r="F737" s="2" t="str">
        <f t="shared" si="33"/>
        <v>Jul</v>
      </c>
      <c r="G737" s="2">
        <f t="shared" si="34"/>
        <v>2022</v>
      </c>
      <c r="H737" s="2">
        <f t="shared" si="35"/>
        <v>-1006.58</v>
      </c>
    </row>
    <row r="738" spans="1:8" x14ac:dyDescent="0.25">
      <c r="A738" s="1">
        <v>44746</v>
      </c>
      <c r="B738" t="s">
        <v>753</v>
      </c>
      <c r="C738" t="s">
        <v>6</v>
      </c>
      <c r="D738">
        <v>204.39</v>
      </c>
      <c r="E738" t="s">
        <v>7</v>
      </c>
      <c r="F738" s="2" t="str">
        <f t="shared" si="33"/>
        <v>Jul</v>
      </c>
      <c r="G738" s="2">
        <f t="shared" si="34"/>
        <v>2022</v>
      </c>
      <c r="H738" s="2">
        <f t="shared" si="35"/>
        <v>-204.39</v>
      </c>
    </row>
    <row r="739" spans="1:8" x14ac:dyDescent="0.25">
      <c r="A739" s="1">
        <v>44747</v>
      </c>
      <c r="B739" t="s">
        <v>754</v>
      </c>
      <c r="C739" t="s">
        <v>11</v>
      </c>
      <c r="D739">
        <v>687.78</v>
      </c>
      <c r="E739" t="s">
        <v>7</v>
      </c>
      <c r="F739" s="2" t="str">
        <f t="shared" si="33"/>
        <v>Jul</v>
      </c>
      <c r="G739" s="2">
        <f t="shared" si="34"/>
        <v>2022</v>
      </c>
      <c r="H739" s="2">
        <f t="shared" si="35"/>
        <v>-687.78</v>
      </c>
    </row>
    <row r="740" spans="1:8" x14ac:dyDescent="0.25">
      <c r="A740" s="1">
        <v>44748</v>
      </c>
      <c r="B740" t="s">
        <v>755</v>
      </c>
      <c r="C740" t="s">
        <v>17</v>
      </c>
      <c r="D740">
        <v>1938.15</v>
      </c>
      <c r="E740" t="s">
        <v>7</v>
      </c>
      <c r="F740" s="2" t="str">
        <f t="shared" si="33"/>
        <v>Jul</v>
      </c>
      <c r="G740" s="2">
        <f t="shared" si="34"/>
        <v>2022</v>
      </c>
      <c r="H740" s="2">
        <f t="shared" si="35"/>
        <v>-1938.15</v>
      </c>
    </row>
    <row r="741" spans="1:8" x14ac:dyDescent="0.25">
      <c r="A741" s="1">
        <v>44755</v>
      </c>
      <c r="B741" t="s">
        <v>756</v>
      </c>
      <c r="C741" t="s">
        <v>35</v>
      </c>
      <c r="D741">
        <v>1569.26</v>
      </c>
      <c r="E741" t="s">
        <v>7</v>
      </c>
      <c r="F741" s="2" t="str">
        <f t="shared" si="33"/>
        <v>Jul</v>
      </c>
      <c r="G741" s="2">
        <f t="shared" si="34"/>
        <v>2022</v>
      </c>
      <c r="H741" s="2">
        <f t="shared" si="35"/>
        <v>-1569.26</v>
      </c>
    </row>
    <row r="742" spans="1:8" x14ac:dyDescent="0.25">
      <c r="A742" s="1">
        <v>44759</v>
      </c>
      <c r="B742" t="s">
        <v>757</v>
      </c>
      <c r="C742" t="s">
        <v>22</v>
      </c>
      <c r="D742">
        <v>718.06</v>
      </c>
      <c r="E742" t="s">
        <v>7</v>
      </c>
      <c r="F742" s="2" t="str">
        <f t="shared" si="33"/>
        <v>Jul</v>
      </c>
      <c r="G742" s="2">
        <f t="shared" si="34"/>
        <v>2022</v>
      </c>
      <c r="H742" s="2">
        <f t="shared" si="35"/>
        <v>-718.06</v>
      </c>
    </row>
    <row r="743" spans="1:8" x14ac:dyDescent="0.25">
      <c r="A743" s="1">
        <v>44759</v>
      </c>
      <c r="B743" t="s">
        <v>758</v>
      </c>
      <c r="C743" t="s">
        <v>17</v>
      </c>
      <c r="D743">
        <v>379.62</v>
      </c>
      <c r="E743" t="s">
        <v>7</v>
      </c>
      <c r="F743" s="2" t="str">
        <f t="shared" si="33"/>
        <v>Jul</v>
      </c>
      <c r="G743" s="2">
        <f t="shared" si="34"/>
        <v>2022</v>
      </c>
      <c r="H743" s="2">
        <f t="shared" si="35"/>
        <v>-379.62</v>
      </c>
    </row>
    <row r="744" spans="1:8" x14ac:dyDescent="0.25">
      <c r="A744" s="1">
        <v>44759</v>
      </c>
      <c r="B744" t="s">
        <v>759</v>
      </c>
      <c r="C744" t="s">
        <v>17</v>
      </c>
      <c r="D744">
        <v>180.53</v>
      </c>
      <c r="E744" t="s">
        <v>7</v>
      </c>
      <c r="F744" s="2" t="str">
        <f t="shared" si="33"/>
        <v>Jul</v>
      </c>
      <c r="G744" s="2">
        <f t="shared" si="34"/>
        <v>2022</v>
      </c>
      <c r="H744" s="2">
        <f t="shared" si="35"/>
        <v>-180.53</v>
      </c>
    </row>
    <row r="745" spans="1:8" x14ac:dyDescent="0.25">
      <c r="A745" s="1">
        <v>44760</v>
      </c>
      <c r="B745" t="s">
        <v>760</v>
      </c>
      <c r="C745" t="s">
        <v>22</v>
      </c>
      <c r="D745">
        <v>1429.09</v>
      </c>
      <c r="E745" t="s">
        <v>7</v>
      </c>
      <c r="F745" s="2" t="str">
        <f t="shared" si="33"/>
        <v>Jul</v>
      </c>
      <c r="G745" s="2">
        <f t="shared" si="34"/>
        <v>2022</v>
      </c>
      <c r="H745" s="2">
        <f t="shared" si="35"/>
        <v>-1429.09</v>
      </c>
    </row>
    <row r="746" spans="1:8" x14ac:dyDescent="0.25">
      <c r="A746" s="1">
        <v>44760</v>
      </c>
      <c r="B746" t="s">
        <v>761</v>
      </c>
      <c r="C746" t="s">
        <v>13</v>
      </c>
      <c r="D746">
        <v>3612</v>
      </c>
      <c r="E746" t="s">
        <v>14</v>
      </c>
      <c r="F746" s="2" t="str">
        <f t="shared" si="33"/>
        <v>Jul</v>
      </c>
      <c r="G746" s="2">
        <f t="shared" si="34"/>
        <v>2022</v>
      </c>
      <c r="H746" s="2">
        <f t="shared" si="35"/>
        <v>3612</v>
      </c>
    </row>
    <row r="747" spans="1:8" x14ac:dyDescent="0.25">
      <c r="A747" s="1">
        <v>44761</v>
      </c>
      <c r="B747" t="s">
        <v>762</v>
      </c>
      <c r="C747" t="s">
        <v>9</v>
      </c>
      <c r="D747">
        <v>1481.91</v>
      </c>
      <c r="E747" t="s">
        <v>7</v>
      </c>
      <c r="F747" s="2" t="str">
        <f t="shared" si="33"/>
        <v>Jul</v>
      </c>
      <c r="G747" s="2">
        <f t="shared" si="34"/>
        <v>2022</v>
      </c>
      <c r="H747" s="2">
        <f t="shared" si="35"/>
        <v>-1481.91</v>
      </c>
    </row>
    <row r="748" spans="1:8" x14ac:dyDescent="0.25">
      <c r="A748" s="1">
        <v>44762</v>
      </c>
      <c r="B748" t="s">
        <v>763</v>
      </c>
      <c r="C748" t="s">
        <v>11</v>
      </c>
      <c r="D748">
        <v>192.13</v>
      </c>
      <c r="E748" t="s">
        <v>7</v>
      </c>
      <c r="F748" s="2" t="str">
        <f t="shared" si="33"/>
        <v>Jul</v>
      </c>
      <c r="G748" s="2">
        <f t="shared" si="34"/>
        <v>2022</v>
      </c>
      <c r="H748" s="2">
        <f t="shared" si="35"/>
        <v>-192.13</v>
      </c>
    </row>
    <row r="749" spans="1:8" x14ac:dyDescent="0.25">
      <c r="A749" s="1">
        <v>44764</v>
      </c>
      <c r="B749" t="s">
        <v>764</v>
      </c>
      <c r="C749" t="s">
        <v>27</v>
      </c>
      <c r="D749">
        <v>726.24</v>
      </c>
      <c r="E749" t="s">
        <v>7</v>
      </c>
      <c r="F749" s="2" t="str">
        <f t="shared" si="33"/>
        <v>Jul</v>
      </c>
      <c r="G749" s="2">
        <f t="shared" si="34"/>
        <v>2022</v>
      </c>
      <c r="H749" s="2">
        <f t="shared" si="35"/>
        <v>-726.24</v>
      </c>
    </row>
    <row r="750" spans="1:8" x14ac:dyDescent="0.25">
      <c r="A750" s="1">
        <v>44767</v>
      </c>
      <c r="B750" t="s">
        <v>765</v>
      </c>
      <c r="C750" t="s">
        <v>9</v>
      </c>
      <c r="D750">
        <v>183.72</v>
      </c>
      <c r="E750" t="s">
        <v>7</v>
      </c>
      <c r="F750" s="2" t="str">
        <f t="shared" si="33"/>
        <v>Jul</v>
      </c>
      <c r="G750" s="2">
        <f t="shared" si="34"/>
        <v>2022</v>
      </c>
      <c r="H750" s="2">
        <f t="shared" si="35"/>
        <v>-183.72</v>
      </c>
    </row>
    <row r="751" spans="1:8" x14ac:dyDescent="0.25">
      <c r="A751" s="1">
        <v>44769</v>
      </c>
      <c r="B751" t="s">
        <v>766</v>
      </c>
      <c r="C751" t="s">
        <v>17</v>
      </c>
      <c r="D751">
        <v>215.55</v>
      </c>
      <c r="E751" t="s">
        <v>7</v>
      </c>
      <c r="F751" s="2" t="str">
        <f t="shared" si="33"/>
        <v>Jul</v>
      </c>
      <c r="G751" s="2">
        <f t="shared" si="34"/>
        <v>2022</v>
      </c>
      <c r="H751" s="2">
        <f t="shared" si="35"/>
        <v>-215.55</v>
      </c>
    </row>
    <row r="752" spans="1:8" x14ac:dyDescent="0.25">
      <c r="A752" s="1">
        <v>44769</v>
      </c>
      <c r="B752" t="s">
        <v>767</v>
      </c>
      <c r="C752" t="s">
        <v>13</v>
      </c>
      <c r="D752">
        <v>3157</v>
      </c>
      <c r="E752" t="s">
        <v>14</v>
      </c>
      <c r="F752" s="2" t="str">
        <f t="shared" si="33"/>
        <v>Jul</v>
      </c>
      <c r="G752" s="2">
        <f t="shared" si="34"/>
        <v>2022</v>
      </c>
      <c r="H752" s="2">
        <f t="shared" si="35"/>
        <v>3157</v>
      </c>
    </row>
    <row r="753" spans="1:8" x14ac:dyDescent="0.25">
      <c r="A753" s="1">
        <v>44769</v>
      </c>
      <c r="B753" t="s">
        <v>768</v>
      </c>
      <c r="C753" t="s">
        <v>6</v>
      </c>
      <c r="D753">
        <v>590.78</v>
      </c>
      <c r="E753" t="s">
        <v>7</v>
      </c>
      <c r="F753" s="2" t="str">
        <f t="shared" si="33"/>
        <v>Jul</v>
      </c>
      <c r="G753" s="2">
        <f t="shared" si="34"/>
        <v>2022</v>
      </c>
      <c r="H753" s="2">
        <f t="shared" si="35"/>
        <v>-590.78</v>
      </c>
    </row>
    <row r="754" spans="1:8" x14ac:dyDescent="0.25">
      <c r="A754" s="1">
        <v>44769</v>
      </c>
      <c r="B754" t="s">
        <v>769</v>
      </c>
      <c r="C754" t="s">
        <v>11</v>
      </c>
      <c r="D754">
        <v>1452.44</v>
      </c>
      <c r="E754" t="s">
        <v>7</v>
      </c>
      <c r="F754" s="2" t="str">
        <f t="shared" si="33"/>
        <v>Jul</v>
      </c>
      <c r="G754" s="2">
        <f t="shared" si="34"/>
        <v>2022</v>
      </c>
      <c r="H754" s="2">
        <f t="shared" si="35"/>
        <v>-1452.44</v>
      </c>
    </row>
    <row r="755" spans="1:8" x14ac:dyDescent="0.25">
      <c r="A755" s="1">
        <v>44770</v>
      </c>
      <c r="B755" t="s">
        <v>770</v>
      </c>
      <c r="C755" t="s">
        <v>22</v>
      </c>
      <c r="D755">
        <v>1148.2</v>
      </c>
      <c r="E755" t="s">
        <v>7</v>
      </c>
      <c r="F755" s="2" t="str">
        <f t="shared" si="33"/>
        <v>Jul</v>
      </c>
      <c r="G755" s="2">
        <f t="shared" si="34"/>
        <v>2022</v>
      </c>
      <c r="H755" s="2">
        <f t="shared" si="35"/>
        <v>-1148.2</v>
      </c>
    </row>
    <row r="756" spans="1:8" x14ac:dyDescent="0.25">
      <c r="A756" s="1">
        <v>44770</v>
      </c>
      <c r="B756" t="s">
        <v>771</v>
      </c>
      <c r="C756" t="s">
        <v>20</v>
      </c>
      <c r="D756">
        <v>1888</v>
      </c>
      <c r="E756" t="s">
        <v>14</v>
      </c>
      <c r="F756" s="2" t="str">
        <f t="shared" si="33"/>
        <v>Jul</v>
      </c>
      <c r="G756" s="2">
        <f t="shared" si="34"/>
        <v>2022</v>
      </c>
      <c r="H756" s="2">
        <f t="shared" si="35"/>
        <v>1888</v>
      </c>
    </row>
    <row r="757" spans="1:8" x14ac:dyDescent="0.25">
      <c r="A757" s="1">
        <v>44771</v>
      </c>
      <c r="B757" t="s">
        <v>772</v>
      </c>
      <c r="C757" t="s">
        <v>20</v>
      </c>
      <c r="D757">
        <v>2698</v>
      </c>
      <c r="E757" t="s">
        <v>14</v>
      </c>
      <c r="F757" s="2" t="str">
        <f t="shared" si="33"/>
        <v>Jul</v>
      </c>
      <c r="G757" s="2">
        <f t="shared" si="34"/>
        <v>2022</v>
      </c>
      <c r="H757" s="2">
        <f t="shared" si="35"/>
        <v>2698</v>
      </c>
    </row>
    <row r="758" spans="1:8" x14ac:dyDescent="0.25">
      <c r="A758" s="1">
        <v>44772</v>
      </c>
      <c r="B758" t="s">
        <v>773</v>
      </c>
      <c r="C758" t="s">
        <v>11</v>
      </c>
      <c r="D758">
        <v>342.74</v>
      </c>
      <c r="E758" t="s">
        <v>7</v>
      </c>
      <c r="F758" s="2" t="str">
        <f t="shared" si="33"/>
        <v>Jul</v>
      </c>
      <c r="G758" s="2">
        <f t="shared" si="34"/>
        <v>2022</v>
      </c>
      <c r="H758" s="2">
        <f t="shared" si="35"/>
        <v>-342.74</v>
      </c>
    </row>
    <row r="759" spans="1:8" x14ac:dyDescent="0.25">
      <c r="A759" s="1">
        <v>44773</v>
      </c>
      <c r="B759" t="s">
        <v>774</v>
      </c>
      <c r="C759" t="s">
        <v>35</v>
      </c>
      <c r="D759">
        <v>973.62</v>
      </c>
      <c r="E759" t="s">
        <v>7</v>
      </c>
      <c r="F759" s="2" t="str">
        <f t="shared" si="33"/>
        <v>Jul</v>
      </c>
      <c r="G759" s="2">
        <f t="shared" si="34"/>
        <v>2022</v>
      </c>
      <c r="H759" s="2">
        <f t="shared" si="35"/>
        <v>-973.62</v>
      </c>
    </row>
    <row r="760" spans="1:8" x14ac:dyDescent="0.25">
      <c r="A760" s="1">
        <v>44775</v>
      </c>
      <c r="B760" t="s">
        <v>775</v>
      </c>
      <c r="C760" t="s">
        <v>20</v>
      </c>
      <c r="D760">
        <v>2520</v>
      </c>
      <c r="E760" t="s">
        <v>14</v>
      </c>
      <c r="F760" s="2" t="str">
        <f t="shared" si="33"/>
        <v>Aug</v>
      </c>
      <c r="G760" s="2">
        <f t="shared" si="34"/>
        <v>2022</v>
      </c>
      <c r="H760" s="2">
        <f t="shared" si="35"/>
        <v>2520</v>
      </c>
    </row>
    <row r="761" spans="1:8" x14ac:dyDescent="0.25">
      <c r="A761" s="1">
        <v>44775</v>
      </c>
      <c r="B761" t="s">
        <v>776</v>
      </c>
      <c r="C761" t="s">
        <v>27</v>
      </c>
      <c r="D761">
        <v>1191.67</v>
      </c>
      <c r="E761" t="s">
        <v>7</v>
      </c>
      <c r="F761" s="2" t="str">
        <f t="shared" si="33"/>
        <v>Aug</v>
      </c>
      <c r="G761" s="2">
        <f t="shared" si="34"/>
        <v>2022</v>
      </c>
      <c r="H761" s="2">
        <f t="shared" si="35"/>
        <v>-1191.67</v>
      </c>
    </row>
    <row r="762" spans="1:8" x14ac:dyDescent="0.25">
      <c r="A762" s="1">
        <v>44776</v>
      </c>
      <c r="B762" t="s">
        <v>777</v>
      </c>
      <c r="C762" t="s">
        <v>13</v>
      </c>
      <c r="D762">
        <v>1609</v>
      </c>
      <c r="E762" t="s">
        <v>14</v>
      </c>
      <c r="F762" s="2" t="str">
        <f t="shared" si="33"/>
        <v>Aug</v>
      </c>
      <c r="G762" s="2">
        <f t="shared" si="34"/>
        <v>2022</v>
      </c>
      <c r="H762" s="2">
        <f t="shared" si="35"/>
        <v>1609</v>
      </c>
    </row>
    <row r="763" spans="1:8" x14ac:dyDescent="0.25">
      <c r="A763" s="1">
        <v>44777</v>
      </c>
      <c r="B763" t="s">
        <v>778</v>
      </c>
      <c r="C763" t="s">
        <v>17</v>
      </c>
      <c r="D763">
        <v>671.11</v>
      </c>
      <c r="E763" t="s">
        <v>7</v>
      </c>
      <c r="F763" s="2" t="str">
        <f t="shared" si="33"/>
        <v>Aug</v>
      </c>
      <c r="G763" s="2">
        <f t="shared" si="34"/>
        <v>2022</v>
      </c>
      <c r="H763" s="2">
        <f t="shared" si="35"/>
        <v>-671.11</v>
      </c>
    </row>
    <row r="764" spans="1:8" x14ac:dyDescent="0.25">
      <c r="A764" s="1">
        <v>44779</v>
      </c>
      <c r="B764" t="s">
        <v>779</v>
      </c>
      <c r="C764" t="s">
        <v>25</v>
      </c>
      <c r="D764">
        <v>886.04</v>
      </c>
      <c r="E764" t="s">
        <v>7</v>
      </c>
      <c r="F764" s="2" t="str">
        <f t="shared" si="33"/>
        <v>Aug</v>
      </c>
      <c r="G764" s="2">
        <f t="shared" si="34"/>
        <v>2022</v>
      </c>
      <c r="H764" s="2">
        <f t="shared" si="35"/>
        <v>-886.04</v>
      </c>
    </row>
    <row r="765" spans="1:8" x14ac:dyDescent="0.25">
      <c r="A765" s="1">
        <v>44780</v>
      </c>
      <c r="B765" t="s">
        <v>780</v>
      </c>
      <c r="C765" t="s">
        <v>9</v>
      </c>
      <c r="D765">
        <v>607.87</v>
      </c>
      <c r="E765" t="s">
        <v>7</v>
      </c>
      <c r="F765" s="2" t="str">
        <f t="shared" si="33"/>
        <v>Aug</v>
      </c>
      <c r="G765" s="2">
        <f t="shared" si="34"/>
        <v>2022</v>
      </c>
      <c r="H765" s="2">
        <f t="shared" si="35"/>
        <v>-607.87</v>
      </c>
    </row>
    <row r="766" spans="1:8" x14ac:dyDescent="0.25">
      <c r="A766" s="1">
        <v>44785</v>
      </c>
      <c r="B766" t="s">
        <v>781</v>
      </c>
      <c r="C766" t="s">
        <v>22</v>
      </c>
      <c r="D766">
        <v>963.23</v>
      </c>
      <c r="E766" t="s">
        <v>7</v>
      </c>
      <c r="F766" s="2" t="str">
        <f t="shared" si="33"/>
        <v>Aug</v>
      </c>
      <c r="G766" s="2">
        <f t="shared" si="34"/>
        <v>2022</v>
      </c>
      <c r="H766" s="2">
        <f t="shared" si="35"/>
        <v>-963.23</v>
      </c>
    </row>
    <row r="767" spans="1:8" x14ac:dyDescent="0.25">
      <c r="A767" s="1">
        <v>44786</v>
      </c>
      <c r="B767" t="s">
        <v>782</v>
      </c>
      <c r="C767" t="s">
        <v>20</v>
      </c>
      <c r="D767">
        <v>3114</v>
      </c>
      <c r="E767" t="s">
        <v>14</v>
      </c>
      <c r="F767" s="2" t="str">
        <f t="shared" si="33"/>
        <v>Aug</v>
      </c>
      <c r="G767" s="2">
        <f t="shared" si="34"/>
        <v>2022</v>
      </c>
      <c r="H767" s="2">
        <f t="shared" si="35"/>
        <v>3114</v>
      </c>
    </row>
    <row r="768" spans="1:8" x14ac:dyDescent="0.25">
      <c r="A768" s="1">
        <v>44788</v>
      </c>
      <c r="B768" t="s">
        <v>783</v>
      </c>
      <c r="C768" t="s">
        <v>27</v>
      </c>
      <c r="D768">
        <v>1935.85</v>
      </c>
      <c r="E768" t="s">
        <v>7</v>
      </c>
      <c r="F768" s="2" t="str">
        <f t="shared" si="33"/>
        <v>Aug</v>
      </c>
      <c r="G768" s="2">
        <f t="shared" si="34"/>
        <v>2022</v>
      </c>
      <c r="H768" s="2">
        <f t="shared" si="35"/>
        <v>-1935.85</v>
      </c>
    </row>
    <row r="769" spans="1:8" x14ac:dyDescent="0.25">
      <c r="A769" s="1">
        <v>44788</v>
      </c>
      <c r="B769" t="s">
        <v>784</v>
      </c>
      <c r="C769" t="s">
        <v>25</v>
      </c>
      <c r="D769">
        <v>758.35</v>
      </c>
      <c r="E769" t="s">
        <v>7</v>
      </c>
      <c r="F769" s="2" t="str">
        <f t="shared" si="33"/>
        <v>Aug</v>
      </c>
      <c r="G769" s="2">
        <f t="shared" si="34"/>
        <v>2022</v>
      </c>
      <c r="H769" s="2">
        <f t="shared" si="35"/>
        <v>-758.35</v>
      </c>
    </row>
    <row r="770" spans="1:8" x14ac:dyDescent="0.25">
      <c r="A770" s="1">
        <v>44789</v>
      </c>
      <c r="B770" t="s">
        <v>785</v>
      </c>
      <c r="C770" t="s">
        <v>17</v>
      </c>
      <c r="D770">
        <v>736.38</v>
      </c>
      <c r="E770" t="s">
        <v>7</v>
      </c>
      <c r="F770" s="2" t="str">
        <f t="shared" ref="F770:F833" si="36">TEXT(A770,"mmm")</f>
        <v>Aug</v>
      </c>
      <c r="G770" s="2">
        <f t="shared" ref="G770:G833" si="37">YEAR(A770)</f>
        <v>2022</v>
      </c>
      <c r="H770" s="2">
        <f t="shared" ref="H770:H833" si="38">IF(E770="Income",D770,-D770)</f>
        <v>-736.38</v>
      </c>
    </row>
    <row r="771" spans="1:8" x14ac:dyDescent="0.25">
      <c r="A771" s="1">
        <v>44789</v>
      </c>
      <c r="B771" t="s">
        <v>786</v>
      </c>
      <c r="C771" t="s">
        <v>22</v>
      </c>
      <c r="D771">
        <v>1188.53</v>
      </c>
      <c r="E771" t="s">
        <v>7</v>
      </c>
      <c r="F771" s="2" t="str">
        <f t="shared" si="36"/>
        <v>Aug</v>
      </c>
      <c r="G771" s="2">
        <f t="shared" si="37"/>
        <v>2022</v>
      </c>
      <c r="H771" s="2">
        <f t="shared" si="38"/>
        <v>-1188.53</v>
      </c>
    </row>
    <row r="772" spans="1:8" x14ac:dyDescent="0.25">
      <c r="A772" s="1">
        <v>44790</v>
      </c>
      <c r="B772" t="s">
        <v>787</v>
      </c>
      <c r="C772" t="s">
        <v>6</v>
      </c>
      <c r="D772">
        <v>1906.48</v>
      </c>
      <c r="E772" t="s">
        <v>7</v>
      </c>
      <c r="F772" s="2" t="str">
        <f t="shared" si="36"/>
        <v>Aug</v>
      </c>
      <c r="G772" s="2">
        <f t="shared" si="37"/>
        <v>2022</v>
      </c>
      <c r="H772" s="2">
        <f t="shared" si="38"/>
        <v>-1906.48</v>
      </c>
    </row>
    <row r="773" spans="1:8" x14ac:dyDescent="0.25">
      <c r="A773" s="1">
        <v>44791</v>
      </c>
      <c r="B773" t="s">
        <v>788</v>
      </c>
      <c r="C773" t="s">
        <v>22</v>
      </c>
      <c r="D773">
        <v>882.53</v>
      </c>
      <c r="E773" t="s">
        <v>7</v>
      </c>
      <c r="F773" s="2" t="str">
        <f t="shared" si="36"/>
        <v>Aug</v>
      </c>
      <c r="G773" s="2">
        <f t="shared" si="37"/>
        <v>2022</v>
      </c>
      <c r="H773" s="2">
        <f t="shared" si="38"/>
        <v>-882.53</v>
      </c>
    </row>
    <row r="774" spans="1:8" x14ac:dyDescent="0.25">
      <c r="A774" s="1">
        <v>44792</v>
      </c>
      <c r="B774" t="s">
        <v>789</v>
      </c>
      <c r="C774" t="s">
        <v>11</v>
      </c>
      <c r="D774">
        <v>1639.74</v>
      </c>
      <c r="E774" t="s">
        <v>7</v>
      </c>
      <c r="F774" s="2" t="str">
        <f t="shared" si="36"/>
        <v>Aug</v>
      </c>
      <c r="G774" s="2">
        <f t="shared" si="37"/>
        <v>2022</v>
      </c>
      <c r="H774" s="2">
        <f t="shared" si="38"/>
        <v>-1639.74</v>
      </c>
    </row>
    <row r="775" spans="1:8" x14ac:dyDescent="0.25">
      <c r="A775" s="1">
        <v>44794</v>
      </c>
      <c r="B775" t="s">
        <v>790</v>
      </c>
      <c r="C775" t="s">
        <v>17</v>
      </c>
      <c r="D775">
        <v>1349.23</v>
      </c>
      <c r="E775" t="s">
        <v>7</v>
      </c>
      <c r="F775" s="2" t="str">
        <f t="shared" si="36"/>
        <v>Aug</v>
      </c>
      <c r="G775" s="2">
        <f t="shared" si="37"/>
        <v>2022</v>
      </c>
      <c r="H775" s="2">
        <f t="shared" si="38"/>
        <v>-1349.23</v>
      </c>
    </row>
    <row r="776" spans="1:8" x14ac:dyDescent="0.25">
      <c r="A776" s="1">
        <v>44794</v>
      </c>
      <c r="B776" t="s">
        <v>791</v>
      </c>
      <c r="C776" t="s">
        <v>20</v>
      </c>
      <c r="D776">
        <v>2482</v>
      </c>
      <c r="E776" t="s">
        <v>14</v>
      </c>
      <c r="F776" s="2" t="str">
        <f t="shared" si="36"/>
        <v>Aug</v>
      </c>
      <c r="G776" s="2">
        <f t="shared" si="37"/>
        <v>2022</v>
      </c>
      <c r="H776" s="2">
        <f t="shared" si="38"/>
        <v>2482</v>
      </c>
    </row>
    <row r="777" spans="1:8" x14ac:dyDescent="0.25">
      <c r="A777" s="1">
        <v>44795</v>
      </c>
      <c r="B777" t="s">
        <v>792</v>
      </c>
      <c r="C777" t="s">
        <v>9</v>
      </c>
      <c r="D777">
        <v>1433.32</v>
      </c>
      <c r="E777" t="s">
        <v>7</v>
      </c>
      <c r="F777" s="2" t="str">
        <f t="shared" si="36"/>
        <v>Aug</v>
      </c>
      <c r="G777" s="2">
        <f t="shared" si="37"/>
        <v>2022</v>
      </c>
      <c r="H777" s="2">
        <f t="shared" si="38"/>
        <v>-1433.32</v>
      </c>
    </row>
    <row r="778" spans="1:8" x14ac:dyDescent="0.25">
      <c r="A778" s="1">
        <v>44795</v>
      </c>
      <c r="B778" t="s">
        <v>793</v>
      </c>
      <c r="C778" t="s">
        <v>11</v>
      </c>
      <c r="D778">
        <v>903.64</v>
      </c>
      <c r="E778" t="s">
        <v>7</v>
      </c>
      <c r="F778" s="2" t="str">
        <f t="shared" si="36"/>
        <v>Aug</v>
      </c>
      <c r="G778" s="2">
        <f t="shared" si="37"/>
        <v>2022</v>
      </c>
      <c r="H778" s="2">
        <f t="shared" si="38"/>
        <v>-903.64</v>
      </c>
    </row>
    <row r="779" spans="1:8" x14ac:dyDescent="0.25">
      <c r="A779" s="1">
        <v>44796</v>
      </c>
      <c r="B779" t="s">
        <v>794</v>
      </c>
      <c r="C779" t="s">
        <v>17</v>
      </c>
      <c r="D779">
        <v>1073.3900000000001</v>
      </c>
      <c r="E779" t="s">
        <v>7</v>
      </c>
      <c r="F779" s="2" t="str">
        <f t="shared" si="36"/>
        <v>Aug</v>
      </c>
      <c r="G779" s="2">
        <f t="shared" si="37"/>
        <v>2022</v>
      </c>
      <c r="H779" s="2">
        <f t="shared" si="38"/>
        <v>-1073.3900000000001</v>
      </c>
    </row>
    <row r="780" spans="1:8" x14ac:dyDescent="0.25">
      <c r="A780" s="1">
        <v>44797</v>
      </c>
      <c r="B780" t="s">
        <v>795</v>
      </c>
      <c r="C780" t="s">
        <v>17</v>
      </c>
      <c r="D780">
        <v>1091.8499999999999</v>
      </c>
      <c r="E780" t="s">
        <v>7</v>
      </c>
      <c r="F780" s="2" t="str">
        <f t="shared" si="36"/>
        <v>Aug</v>
      </c>
      <c r="G780" s="2">
        <f t="shared" si="37"/>
        <v>2022</v>
      </c>
      <c r="H780" s="2">
        <f t="shared" si="38"/>
        <v>-1091.8499999999999</v>
      </c>
    </row>
    <row r="781" spans="1:8" x14ac:dyDescent="0.25">
      <c r="A781" s="1">
        <v>44799</v>
      </c>
      <c r="B781" t="s">
        <v>796</v>
      </c>
      <c r="C781" t="s">
        <v>25</v>
      </c>
      <c r="D781">
        <v>1406.25</v>
      </c>
      <c r="E781" t="s">
        <v>7</v>
      </c>
      <c r="F781" s="2" t="str">
        <f t="shared" si="36"/>
        <v>Aug</v>
      </c>
      <c r="G781" s="2">
        <f t="shared" si="37"/>
        <v>2022</v>
      </c>
      <c r="H781" s="2">
        <f t="shared" si="38"/>
        <v>-1406.25</v>
      </c>
    </row>
    <row r="782" spans="1:8" x14ac:dyDescent="0.25">
      <c r="A782" s="1">
        <v>44799</v>
      </c>
      <c r="B782" t="s">
        <v>797</v>
      </c>
      <c r="C782" t="s">
        <v>11</v>
      </c>
      <c r="D782">
        <v>227.65</v>
      </c>
      <c r="E782" t="s">
        <v>7</v>
      </c>
      <c r="F782" s="2" t="str">
        <f t="shared" si="36"/>
        <v>Aug</v>
      </c>
      <c r="G782" s="2">
        <f t="shared" si="37"/>
        <v>2022</v>
      </c>
      <c r="H782" s="2">
        <f t="shared" si="38"/>
        <v>-227.65</v>
      </c>
    </row>
    <row r="783" spans="1:8" x14ac:dyDescent="0.25">
      <c r="A783" s="1">
        <v>44801</v>
      </c>
      <c r="B783" t="s">
        <v>798</v>
      </c>
      <c r="C783" t="s">
        <v>25</v>
      </c>
      <c r="D783">
        <v>341.01</v>
      </c>
      <c r="E783" t="s">
        <v>7</v>
      </c>
      <c r="F783" s="2" t="str">
        <f t="shared" si="36"/>
        <v>Aug</v>
      </c>
      <c r="G783" s="2">
        <f t="shared" si="37"/>
        <v>2022</v>
      </c>
      <c r="H783" s="2">
        <f t="shared" si="38"/>
        <v>-341.01</v>
      </c>
    </row>
    <row r="784" spans="1:8" x14ac:dyDescent="0.25">
      <c r="A784" s="1">
        <v>44802</v>
      </c>
      <c r="B784" t="s">
        <v>799</v>
      </c>
      <c r="C784" t="s">
        <v>17</v>
      </c>
      <c r="D784">
        <v>1933.95</v>
      </c>
      <c r="E784" t="s">
        <v>7</v>
      </c>
      <c r="F784" s="2" t="str">
        <f t="shared" si="36"/>
        <v>Aug</v>
      </c>
      <c r="G784" s="2">
        <f t="shared" si="37"/>
        <v>2022</v>
      </c>
      <c r="H784" s="2">
        <f t="shared" si="38"/>
        <v>-1933.95</v>
      </c>
    </row>
    <row r="785" spans="1:8" x14ac:dyDescent="0.25">
      <c r="A785" s="1">
        <v>44803</v>
      </c>
      <c r="B785" t="s">
        <v>800</v>
      </c>
      <c r="C785" t="s">
        <v>17</v>
      </c>
      <c r="D785">
        <v>220.83</v>
      </c>
      <c r="E785" t="s">
        <v>7</v>
      </c>
      <c r="F785" s="2" t="str">
        <f t="shared" si="36"/>
        <v>Aug</v>
      </c>
      <c r="G785" s="2">
        <f t="shared" si="37"/>
        <v>2022</v>
      </c>
      <c r="H785" s="2">
        <f t="shared" si="38"/>
        <v>-220.83</v>
      </c>
    </row>
    <row r="786" spans="1:8" x14ac:dyDescent="0.25">
      <c r="A786" s="1">
        <v>44804</v>
      </c>
      <c r="B786" t="s">
        <v>801</v>
      </c>
      <c r="C786" t="s">
        <v>13</v>
      </c>
      <c r="D786">
        <v>4683</v>
      </c>
      <c r="E786" t="s">
        <v>14</v>
      </c>
      <c r="F786" s="2" t="str">
        <f t="shared" si="36"/>
        <v>Aug</v>
      </c>
      <c r="G786" s="2">
        <f t="shared" si="37"/>
        <v>2022</v>
      </c>
      <c r="H786" s="2">
        <f t="shared" si="38"/>
        <v>4683</v>
      </c>
    </row>
    <row r="787" spans="1:8" x14ac:dyDescent="0.25">
      <c r="A787" s="1">
        <v>44804</v>
      </c>
      <c r="B787" t="s">
        <v>802</v>
      </c>
      <c r="C787" t="s">
        <v>22</v>
      </c>
      <c r="D787">
        <v>897.1</v>
      </c>
      <c r="E787" t="s">
        <v>7</v>
      </c>
      <c r="F787" s="2" t="str">
        <f t="shared" si="36"/>
        <v>Aug</v>
      </c>
      <c r="G787" s="2">
        <f t="shared" si="37"/>
        <v>2022</v>
      </c>
      <c r="H787" s="2">
        <f t="shared" si="38"/>
        <v>-897.1</v>
      </c>
    </row>
    <row r="788" spans="1:8" x14ac:dyDescent="0.25">
      <c r="A788" s="1">
        <v>44805</v>
      </c>
      <c r="B788" t="s">
        <v>803</v>
      </c>
      <c r="C788" t="s">
        <v>9</v>
      </c>
      <c r="D788">
        <v>696.49</v>
      </c>
      <c r="E788" t="s">
        <v>7</v>
      </c>
      <c r="F788" s="2" t="str">
        <f t="shared" si="36"/>
        <v>Sep</v>
      </c>
      <c r="G788" s="2">
        <f t="shared" si="37"/>
        <v>2022</v>
      </c>
      <c r="H788" s="2">
        <f t="shared" si="38"/>
        <v>-696.49</v>
      </c>
    </row>
    <row r="789" spans="1:8" x14ac:dyDescent="0.25">
      <c r="A789" s="1">
        <v>44806</v>
      </c>
      <c r="B789" t="s">
        <v>804</v>
      </c>
      <c r="C789" t="s">
        <v>13</v>
      </c>
      <c r="D789">
        <v>2920</v>
      </c>
      <c r="E789" t="s">
        <v>14</v>
      </c>
      <c r="F789" s="2" t="str">
        <f t="shared" si="36"/>
        <v>Sep</v>
      </c>
      <c r="G789" s="2">
        <f t="shared" si="37"/>
        <v>2022</v>
      </c>
      <c r="H789" s="2">
        <f t="shared" si="38"/>
        <v>2920</v>
      </c>
    </row>
    <row r="790" spans="1:8" x14ac:dyDescent="0.25">
      <c r="A790" s="1">
        <v>44807</v>
      </c>
      <c r="B790" t="s">
        <v>805</v>
      </c>
      <c r="C790" t="s">
        <v>11</v>
      </c>
      <c r="D790">
        <v>240.98</v>
      </c>
      <c r="E790" t="s">
        <v>7</v>
      </c>
      <c r="F790" s="2" t="str">
        <f t="shared" si="36"/>
        <v>Sep</v>
      </c>
      <c r="G790" s="2">
        <f t="shared" si="37"/>
        <v>2022</v>
      </c>
      <c r="H790" s="2">
        <f t="shared" si="38"/>
        <v>-240.98</v>
      </c>
    </row>
    <row r="791" spans="1:8" x14ac:dyDescent="0.25">
      <c r="A791" s="1">
        <v>44807</v>
      </c>
      <c r="B791" t="s">
        <v>806</v>
      </c>
      <c r="C791" t="s">
        <v>9</v>
      </c>
      <c r="D791">
        <v>703.17</v>
      </c>
      <c r="E791" t="s">
        <v>7</v>
      </c>
      <c r="F791" s="2" t="str">
        <f t="shared" si="36"/>
        <v>Sep</v>
      </c>
      <c r="G791" s="2">
        <f t="shared" si="37"/>
        <v>2022</v>
      </c>
      <c r="H791" s="2">
        <f t="shared" si="38"/>
        <v>-703.17</v>
      </c>
    </row>
    <row r="792" spans="1:8" x14ac:dyDescent="0.25">
      <c r="A792" s="1">
        <v>44807</v>
      </c>
      <c r="B792" t="s">
        <v>807</v>
      </c>
      <c r="C792" t="s">
        <v>22</v>
      </c>
      <c r="D792">
        <v>1047.02</v>
      </c>
      <c r="E792" t="s">
        <v>7</v>
      </c>
      <c r="F792" s="2" t="str">
        <f t="shared" si="36"/>
        <v>Sep</v>
      </c>
      <c r="G792" s="2">
        <f t="shared" si="37"/>
        <v>2022</v>
      </c>
      <c r="H792" s="2">
        <f t="shared" si="38"/>
        <v>-1047.02</v>
      </c>
    </row>
    <row r="793" spans="1:8" x14ac:dyDescent="0.25">
      <c r="A793" s="1">
        <v>44808</v>
      </c>
      <c r="B793" t="s">
        <v>808</v>
      </c>
      <c r="C793" t="s">
        <v>11</v>
      </c>
      <c r="D793">
        <v>881.95</v>
      </c>
      <c r="E793" t="s">
        <v>7</v>
      </c>
      <c r="F793" s="2" t="str">
        <f t="shared" si="36"/>
        <v>Sep</v>
      </c>
      <c r="G793" s="2">
        <f t="shared" si="37"/>
        <v>2022</v>
      </c>
      <c r="H793" s="2">
        <f t="shared" si="38"/>
        <v>-881.95</v>
      </c>
    </row>
    <row r="794" spans="1:8" x14ac:dyDescent="0.25">
      <c r="A794" s="1">
        <v>44808</v>
      </c>
      <c r="B794" t="s">
        <v>809</v>
      </c>
      <c r="C794" t="s">
        <v>25</v>
      </c>
      <c r="D794">
        <v>143.68</v>
      </c>
      <c r="E794" t="s">
        <v>7</v>
      </c>
      <c r="F794" s="2" t="str">
        <f t="shared" si="36"/>
        <v>Sep</v>
      </c>
      <c r="G794" s="2">
        <f t="shared" si="37"/>
        <v>2022</v>
      </c>
      <c r="H794" s="2">
        <f t="shared" si="38"/>
        <v>-143.68</v>
      </c>
    </row>
    <row r="795" spans="1:8" x14ac:dyDescent="0.25">
      <c r="A795" s="1">
        <v>44809</v>
      </c>
      <c r="B795" t="s">
        <v>810</v>
      </c>
      <c r="C795" t="s">
        <v>13</v>
      </c>
      <c r="D795">
        <v>685</v>
      </c>
      <c r="E795" t="s">
        <v>14</v>
      </c>
      <c r="F795" s="2" t="str">
        <f t="shared" si="36"/>
        <v>Sep</v>
      </c>
      <c r="G795" s="2">
        <f t="shared" si="37"/>
        <v>2022</v>
      </c>
      <c r="H795" s="2">
        <f t="shared" si="38"/>
        <v>685</v>
      </c>
    </row>
    <row r="796" spans="1:8" x14ac:dyDescent="0.25">
      <c r="A796" s="1">
        <v>44810</v>
      </c>
      <c r="B796" t="s">
        <v>811</v>
      </c>
      <c r="C796" t="s">
        <v>11</v>
      </c>
      <c r="D796">
        <v>1357.51</v>
      </c>
      <c r="E796" t="s">
        <v>7</v>
      </c>
      <c r="F796" s="2" t="str">
        <f t="shared" si="36"/>
        <v>Sep</v>
      </c>
      <c r="G796" s="2">
        <f t="shared" si="37"/>
        <v>2022</v>
      </c>
      <c r="H796" s="2">
        <f t="shared" si="38"/>
        <v>-1357.51</v>
      </c>
    </row>
    <row r="797" spans="1:8" x14ac:dyDescent="0.25">
      <c r="A797" s="1">
        <v>44811</v>
      </c>
      <c r="B797" t="s">
        <v>812</v>
      </c>
      <c r="C797" t="s">
        <v>13</v>
      </c>
      <c r="D797">
        <v>4727</v>
      </c>
      <c r="E797" t="s">
        <v>14</v>
      </c>
      <c r="F797" s="2" t="str">
        <f t="shared" si="36"/>
        <v>Sep</v>
      </c>
      <c r="G797" s="2">
        <f t="shared" si="37"/>
        <v>2022</v>
      </c>
      <c r="H797" s="2">
        <f t="shared" si="38"/>
        <v>4727</v>
      </c>
    </row>
    <row r="798" spans="1:8" x14ac:dyDescent="0.25">
      <c r="A798" s="1">
        <v>44812</v>
      </c>
      <c r="B798" t="s">
        <v>813</v>
      </c>
      <c r="C798" t="s">
        <v>13</v>
      </c>
      <c r="D798">
        <v>3211</v>
      </c>
      <c r="E798" t="s">
        <v>14</v>
      </c>
      <c r="F798" s="2" t="str">
        <f t="shared" si="36"/>
        <v>Sep</v>
      </c>
      <c r="G798" s="2">
        <f t="shared" si="37"/>
        <v>2022</v>
      </c>
      <c r="H798" s="2">
        <f t="shared" si="38"/>
        <v>3211</v>
      </c>
    </row>
    <row r="799" spans="1:8" x14ac:dyDescent="0.25">
      <c r="A799" s="1">
        <v>44814</v>
      </c>
      <c r="B799" t="s">
        <v>814</v>
      </c>
      <c r="C799" t="s">
        <v>27</v>
      </c>
      <c r="D799">
        <v>471.39</v>
      </c>
      <c r="E799" t="s">
        <v>7</v>
      </c>
      <c r="F799" s="2" t="str">
        <f t="shared" si="36"/>
        <v>Sep</v>
      </c>
      <c r="G799" s="2">
        <f t="shared" si="37"/>
        <v>2022</v>
      </c>
      <c r="H799" s="2">
        <f t="shared" si="38"/>
        <v>-471.39</v>
      </c>
    </row>
    <row r="800" spans="1:8" x14ac:dyDescent="0.25">
      <c r="A800" s="1">
        <v>44815</v>
      </c>
      <c r="B800" t="s">
        <v>815</v>
      </c>
      <c r="C800" t="s">
        <v>9</v>
      </c>
      <c r="D800">
        <v>380.91</v>
      </c>
      <c r="E800" t="s">
        <v>7</v>
      </c>
      <c r="F800" s="2" t="str">
        <f t="shared" si="36"/>
        <v>Sep</v>
      </c>
      <c r="G800" s="2">
        <f t="shared" si="37"/>
        <v>2022</v>
      </c>
      <c r="H800" s="2">
        <f t="shared" si="38"/>
        <v>-380.91</v>
      </c>
    </row>
    <row r="801" spans="1:8" x14ac:dyDescent="0.25">
      <c r="A801" s="1">
        <v>44815</v>
      </c>
      <c r="B801" t="s">
        <v>816</v>
      </c>
      <c r="C801" t="s">
        <v>17</v>
      </c>
      <c r="D801">
        <v>68.09</v>
      </c>
      <c r="E801" t="s">
        <v>7</v>
      </c>
      <c r="F801" s="2" t="str">
        <f t="shared" si="36"/>
        <v>Sep</v>
      </c>
      <c r="G801" s="2">
        <f t="shared" si="37"/>
        <v>2022</v>
      </c>
      <c r="H801" s="2">
        <f t="shared" si="38"/>
        <v>-68.09</v>
      </c>
    </row>
    <row r="802" spans="1:8" x14ac:dyDescent="0.25">
      <c r="A802" s="1">
        <v>44816</v>
      </c>
      <c r="B802" t="s">
        <v>817</v>
      </c>
      <c r="C802" t="s">
        <v>22</v>
      </c>
      <c r="D802">
        <v>904.65</v>
      </c>
      <c r="E802" t="s">
        <v>7</v>
      </c>
      <c r="F802" s="2" t="str">
        <f t="shared" si="36"/>
        <v>Sep</v>
      </c>
      <c r="G802" s="2">
        <f t="shared" si="37"/>
        <v>2022</v>
      </c>
      <c r="H802" s="2">
        <f t="shared" si="38"/>
        <v>-904.65</v>
      </c>
    </row>
    <row r="803" spans="1:8" x14ac:dyDescent="0.25">
      <c r="A803" s="1">
        <v>44818</v>
      </c>
      <c r="B803" t="s">
        <v>818</v>
      </c>
      <c r="C803" t="s">
        <v>6</v>
      </c>
      <c r="D803">
        <v>1412.42</v>
      </c>
      <c r="E803" t="s">
        <v>7</v>
      </c>
      <c r="F803" s="2" t="str">
        <f t="shared" si="36"/>
        <v>Sep</v>
      </c>
      <c r="G803" s="2">
        <f t="shared" si="37"/>
        <v>2022</v>
      </c>
      <c r="H803" s="2">
        <f t="shared" si="38"/>
        <v>-1412.42</v>
      </c>
    </row>
    <row r="804" spans="1:8" x14ac:dyDescent="0.25">
      <c r="A804" s="1">
        <v>44819</v>
      </c>
      <c r="B804" t="s">
        <v>819</v>
      </c>
      <c r="C804" t="s">
        <v>11</v>
      </c>
      <c r="D804">
        <v>1158.92</v>
      </c>
      <c r="E804" t="s">
        <v>7</v>
      </c>
      <c r="F804" s="2" t="str">
        <f t="shared" si="36"/>
        <v>Sep</v>
      </c>
      <c r="G804" s="2">
        <f t="shared" si="37"/>
        <v>2022</v>
      </c>
      <c r="H804" s="2">
        <f t="shared" si="38"/>
        <v>-1158.92</v>
      </c>
    </row>
    <row r="805" spans="1:8" x14ac:dyDescent="0.25">
      <c r="A805" s="1">
        <v>44819</v>
      </c>
      <c r="B805" t="s">
        <v>820</v>
      </c>
      <c r="C805" t="s">
        <v>9</v>
      </c>
      <c r="D805">
        <v>737.93</v>
      </c>
      <c r="E805" t="s">
        <v>7</v>
      </c>
      <c r="F805" s="2" t="str">
        <f t="shared" si="36"/>
        <v>Sep</v>
      </c>
      <c r="G805" s="2">
        <f t="shared" si="37"/>
        <v>2022</v>
      </c>
      <c r="H805" s="2">
        <f t="shared" si="38"/>
        <v>-737.93</v>
      </c>
    </row>
    <row r="806" spans="1:8" x14ac:dyDescent="0.25">
      <c r="A806" s="1">
        <v>44821</v>
      </c>
      <c r="B806" t="s">
        <v>821</v>
      </c>
      <c r="C806" t="s">
        <v>13</v>
      </c>
      <c r="D806">
        <v>2649</v>
      </c>
      <c r="E806" t="s">
        <v>14</v>
      </c>
      <c r="F806" s="2" t="str">
        <f t="shared" si="36"/>
        <v>Sep</v>
      </c>
      <c r="G806" s="2">
        <f t="shared" si="37"/>
        <v>2022</v>
      </c>
      <c r="H806" s="2">
        <f t="shared" si="38"/>
        <v>2649</v>
      </c>
    </row>
    <row r="807" spans="1:8" x14ac:dyDescent="0.25">
      <c r="A807" s="1">
        <v>44822</v>
      </c>
      <c r="B807" t="s">
        <v>822</v>
      </c>
      <c r="C807" t="s">
        <v>27</v>
      </c>
      <c r="D807">
        <v>1060.1500000000001</v>
      </c>
      <c r="E807" t="s">
        <v>7</v>
      </c>
      <c r="F807" s="2" t="str">
        <f t="shared" si="36"/>
        <v>Sep</v>
      </c>
      <c r="G807" s="2">
        <f t="shared" si="37"/>
        <v>2022</v>
      </c>
      <c r="H807" s="2">
        <f t="shared" si="38"/>
        <v>-1060.1500000000001</v>
      </c>
    </row>
    <row r="808" spans="1:8" x14ac:dyDescent="0.25">
      <c r="A808" s="1">
        <v>44823</v>
      </c>
      <c r="B808" t="s">
        <v>823</v>
      </c>
      <c r="C808" t="s">
        <v>17</v>
      </c>
      <c r="D808">
        <v>1226.5</v>
      </c>
      <c r="E808" t="s">
        <v>7</v>
      </c>
      <c r="F808" s="2" t="str">
        <f t="shared" si="36"/>
        <v>Sep</v>
      </c>
      <c r="G808" s="2">
        <f t="shared" si="37"/>
        <v>2022</v>
      </c>
      <c r="H808" s="2">
        <f t="shared" si="38"/>
        <v>-1226.5</v>
      </c>
    </row>
    <row r="809" spans="1:8" x14ac:dyDescent="0.25">
      <c r="A809" s="1">
        <v>44823</v>
      </c>
      <c r="B809" t="s">
        <v>824</v>
      </c>
      <c r="C809" t="s">
        <v>25</v>
      </c>
      <c r="D809">
        <v>710.45</v>
      </c>
      <c r="E809" t="s">
        <v>7</v>
      </c>
      <c r="F809" s="2" t="str">
        <f t="shared" si="36"/>
        <v>Sep</v>
      </c>
      <c r="G809" s="2">
        <f t="shared" si="37"/>
        <v>2022</v>
      </c>
      <c r="H809" s="2">
        <f t="shared" si="38"/>
        <v>-710.45</v>
      </c>
    </row>
    <row r="810" spans="1:8" x14ac:dyDescent="0.25">
      <c r="A810" s="1">
        <v>44825</v>
      </c>
      <c r="B810" t="s">
        <v>825</v>
      </c>
      <c r="C810" t="s">
        <v>9</v>
      </c>
      <c r="D810">
        <v>1629.34</v>
      </c>
      <c r="E810" t="s">
        <v>7</v>
      </c>
      <c r="F810" s="2" t="str">
        <f t="shared" si="36"/>
        <v>Sep</v>
      </c>
      <c r="G810" s="2">
        <f t="shared" si="37"/>
        <v>2022</v>
      </c>
      <c r="H810" s="2">
        <f t="shared" si="38"/>
        <v>-1629.34</v>
      </c>
    </row>
    <row r="811" spans="1:8" x14ac:dyDescent="0.25">
      <c r="A811" s="1">
        <v>44827</v>
      </c>
      <c r="B811" t="s">
        <v>826</v>
      </c>
      <c r="C811" t="s">
        <v>35</v>
      </c>
      <c r="D811">
        <v>1838.18</v>
      </c>
      <c r="E811" t="s">
        <v>7</v>
      </c>
      <c r="F811" s="2" t="str">
        <f t="shared" si="36"/>
        <v>Sep</v>
      </c>
      <c r="G811" s="2">
        <f t="shared" si="37"/>
        <v>2022</v>
      </c>
      <c r="H811" s="2">
        <f t="shared" si="38"/>
        <v>-1838.18</v>
      </c>
    </row>
    <row r="812" spans="1:8" x14ac:dyDescent="0.25">
      <c r="A812" s="1">
        <v>44830</v>
      </c>
      <c r="B812" t="s">
        <v>827</v>
      </c>
      <c r="C812" t="s">
        <v>9</v>
      </c>
      <c r="D812">
        <v>633.24</v>
      </c>
      <c r="E812" t="s">
        <v>7</v>
      </c>
      <c r="F812" s="2" t="str">
        <f t="shared" si="36"/>
        <v>Sep</v>
      </c>
      <c r="G812" s="2">
        <f t="shared" si="37"/>
        <v>2022</v>
      </c>
      <c r="H812" s="2">
        <f t="shared" si="38"/>
        <v>-633.24</v>
      </c>
    </row>
    <row r="813" spans="1:8" x14ac:dyDescent="0.25">
      <c r="A813" s="1">
        <v>44830</v>
      </c>
      <c r="B813" t="s">
        <v>828</v>
      </c>
      <c r="C813" t="s">
        <v>11</v>
      </c>
      <c r="D813">
        <v>374.26</v>
      </c>
      <c r="E813" t="s">
        <v>7</v>
      </c>
      <c r="F813" s="2" t="str">
        <f t="shared" si="36"/>
        <v>Sep</v>
      </c>
      <c r="G813" s="2">
        <f t="shared" si="37"/>
        <v>2022</v>
      </c>
      <c r="H813" s="2">
        <f t="shared" si="38"/>
        <v>-374.26</v>
      </c>
    </row>
    <row r="814" spans="1:8" x14ac:dyDescent="0.25">
      <c r="A814" s="1">
        <v>44832</v>
      </c>
      <c r="B814" t="s">
        <v>829</v>
      </c>
      <c r="C814" t="s">
        <v>17</v>
      </c>
      <c r="D814">
        <v>842.3</v>
      </c>
      <c r="E814" t="s">
        <v>7</v>
      </c>
      <c r="F814" s="2" t="str">
        <f t="shared" si="36"/>
        <v>Sep</v>
      </c>
      <c r="G814" s="2">
        <f t="shared" si="37"/>
        <v>2022</v>
      </c>
      <c r="H814" s="2">
        <f t="shared" si="38"/>
        <v>-842.3</v>
      </c>
    </row>
    <row r="815" spans="1:8" x14ac:dyDescent="0.25">
      <c r="A815" s="1">
        <v>44833</v>
      </c>
      <c r="B815" t="s">
        <v>830</v>
      </c>
      <c r="C815" t="s">
        <v>20</v>
      </c>
      <c r="D815">
        <v>3965</v>
      </c>
      <c r="E815" t="s">
        <v>14</v>
      </c>
      <c r="F815" s="2" t="str">
        <f t="shared" si="36"/>
        <v>Sep</v>
      </c>
      <c r="G815" s="2">
        <f t="shared" si="37"/>
        <v>2022</v>
      </c>
      <c r="H815" s="2">
        <f t="shared" si="38"/>
        <v>3965</v>
      </c>
    </row>
    <row r="816" spans="1:8" x14ac:dyDescent="0.25">
      <c r="A816" s="1">
        <v>44833</v>
      </c>
      <c r="B816" t="s">
        <v>831</v>
      </c>
      <c r="C816" t="s">
        <v>13</v>
      </c>
      <c r="D816">
        <v>1866</v>
      </c>
      <c r="E816" t="s">
        <v>14</v>
      </c>
      <c r="F816" s="2" t="str">
        <f t="shared" si="36"/>
        <v>Sep</v>
      </c>
      <c r="G816" s="2">
        <f t="shared" si="37"/>
        <v>2022</v>
      </c>
      <c r="H816" s="2">
        <f t="shared" si="38"/>
        <v>1866</v>
      </c>
    </row>
    <row r="817" spans="1:8" x14ac:dyDescent="0.25">
      <c r="A817" s="1">
        <v>44834</v>
      </c>
      <c r="B817" t="s">
        <v>832</v>
      </c>
      <c r="C817" t="s">
        <v>9</v>
      </c>
      <c r="D817">
        <v>382.33</v>
      </c>
      <c r="E817" t="s">
        <v>7</v>
      </c>
      <c r="F817" s="2" t="str">
        <f t="shared" si="36"/>
        <v>Sep</v>
      </c>
      <c r="G817" s="2">
        <f t="shared" si="37"/>
        <v>2022</v>
      </c>
      <c r="H817" s="2">
        <f t="shared" si="38"/>
        <v>-382.33</v>
      </c>
    </row>
    <row r="818" spans="1:8" x14ac:dyDescent="0.25">
      <c r="A818" s="1">
        <v>44835</v>
      </c>
      <c r="B818" t="s">
        <v>833</v>
      </c>
      <c r="C818" t="s">
        <v>6</v>
      </c>
      <c r="D818">
        <v>1732.39</v>
      </c>
      <c r="E818" t="s">
        <v>7</v>
      </c>
      <c r="F818" s="2" t="str">
        <f t="shared" si="36"/>
        <v>Oct</v>
      </c>
      <c r="G818" s="2">
        <f t="shared" si="37"/>
        <v>2022</v>
      </c>
      <c r="H818" s="2">
        <f t="shared" si="38"/>
        <v>-1732.39</v>
      </c>
    </row>
    <row r="819" spans="1:8" x14ac:dyDescent="0.25">
      <c r="A819" s="1">
        <v>44836</v>
      </c>
      <c r="B819" t="s">
        <v>834</v>
      </c>
      <c r="C819" t="s">
        <v>27</v>
      </c>
      <c r="D819">
        <v>281.7</v>
      </c>
      <c r="E819" t="s">
        <v>7</v>
      </c>
      <c r="F819" s="2" t="str">
        <f t="shared" si="36"/>
        <v>Oct</v>
      </c>
      <c r="G819" s="2">
        <f t="shared" si="37"/>
        <v>2022</v>
      </c>
      <c r="H819" s="2">
        <f t="shared" si="38"/>
        <v>-281.7</v>
      </c>
    </row>
    <row r="820" spans="1:8" x14ac:dyDescent="0.25">
      <c r="A820" s="1">
        <v>44837</v>
      </c>
      <c r="B820" t="s">
        <v>835</v>
      </c>
      <c r="C820" t="s">
        <v>27</v>
      </c>
      <c r="D820">
        <v>824.18</v>
      </c>
      <c r="E820" t="s">
        <v>7</v>
      </c>
      <c r="F820" s="2" t="str">
        <f t="shared" si="36"/>
        <v>Oct</v>
      </c>
      <c r="G820" s="2">
        <f t="shared" si="37"/>
        <v>2022</v>
      </c>
      <c r="H820" s="2">
        <f t="shared" si="38"/>
        <v>-824.18</v>
      </c>
    </row>
    <row r="821" spans="1:8" x14ac:dyDescent="0.25">
      <c r="A821" s="1">
        <v>44838</v>
      </c>
      <c r="B821" t="s">
        <v>836</v>
      </c>
      <c r="C821" t="s">
        <v>27</v>
      </c>
      <c r="D821">
        <v>982.51</v>
      </c>
      <c r="E821" t="s">
        <v>7</v>
      </c>
      <c r="F821" s="2" t="str">
        <f t="shared" si="36"/>
        <v>Oct</v>
      </c>
      <c r="G821" s="2">
        <f t="shared" si="37"/>
        <v>2022</v>
      </c>
      <c r="H821" s="2">
        <f t="shared" si="38"/>
        <v>-982.51</v>
      </c>
    </row>
    <row r="822" spans="1:8" x14ac:dyDescent="0.25">
      <c r="A822" s="1">
        <v>44838</v>
      </c>
      <c r="B822" t="s">
        <v>837</v>
      </c>
      <c r="C822" t="s">
        <v>13</v>
      </c>
      <c r="D822">
        <v>2306</v>
      </c>
      <c r="E822" t="s">
        <v>14</v>
      </c>
      <c r="F822" s="2" t="str">
        <f t="shared" si="36"/>
        <v>Oct</v>
      </c>
      <c r="G822" s="2">
        <f t="shared" si="37"/>
        <v>2022</v>
      </c>
      <c r="H822" s="2">
        <f t="shared" si="38"/>
        <v>2306</v>
      </c>
    </row>
    <row r="823" spans="1:8" x14ac:dyDescent="0.25">
      <c r="A823" s="1">
        <v>44839</v>
      </c>
      <c r="B823" t="s">
        <v>838</v>
      </c>
      <c r="C823" t="s">
        <v>35</v>
      </c>
      <c r="D823">
        <v>457.44</v>
      </c>
      <c r="E823" t="s">
        <v>7</v>
      </c>
      <c r="F823" s="2" t="str">
        <f t="shared" si="36"/>
        <v>Oct</v>
      </c>
      <c r="G823" s="2">
        <f t="shared" si="37"/>
        <v>2022</v>
      </c>
      <c r="H823" s="2">
        <f t="shared" si="38"/>
        <v>-457.44</v>
      </c>
    </row>
    <row r="824" spans="1:8" x14ac:dyDescent="0.25">
      <c r="A824" s="1">
        <v>44842</v>
      </c>
      <c r="B824" t="s">
        <v>839</v>
      </c>
      <c r="C824" t="s">
        <v>27</v>
      </c>
      <c r="D824">
        <v>1135.6400000000001</v>
      </c>
      <c r="E824" t="s">
        <v>7</v>
      </c>
      <c r="F824" s="2" t="str">
        <f t="shared" si="36"/>
        <v>Oct</v>
      </c>
      <c r="G824" s="2">
        <f t="shared" si="37"/>
        <v>2022</v>
      </c>
      <c r="H824" s="2">
        <f t="shared" si="38"/>
        <v>-1135.6400000000001</v>
      </c>
    </row>
    <row r="825" spans="1:8" x14ac:dyDescent="0.25">
      <c r="A825" s="1">
        <v>44844</v>
      </c>
      <c r="B825" t="s">
        <v>840</v>
      </c>
      <c r="C825" t="s">
        <v>27</v>
      </c>
      <c r="D825">
        <v>1103.96</v>
      </c>
      <c r="E825" t="s">
        <v>7</v>
      </c>
      <c r="F825" s="2" t="str">
        <f t="shared" si="36"/>
        <v>Oct</v>
      </c>
      <c r="G825" s="2">
        <f t="shared" si="37"/>
        <v>2022</v>
      </c>
      <c r="H825" s="2">
        <f t="shared" si="38"/>
        <v>-1103.96</v>
      </c>
    </row>
    <row r="826" spans="1:8" x14ac:dyDescent="0.25">
      <c r="A826" s="1">
        <v>44846</v>
      </c>
      <c r="B826" t="s">
        <v>841</v>
      </c>
      <c r="C826" t="s">
        <v>13</v>
      </c>
      <c r="D826">
        <v>2694</v>
      </c>
      <c r="E826" t="s">
        <v>14</v>
      </c>
      <c r="F826" s="2" t="str">
        <f t="shared" si="36"/>
        <v>Oct</v>
      </c>
      <c r="G826" s="2">
        <f t="shared" si="37"/>
        <v>2022</v>
      </c>
      <c r="H826" s="2">
        <f t="shared" si="38"/>
        <v>2694</v>
      </c>
    </row>
    <row r="827" spans="1:8" x14ac:dyDescent="0.25">
      <c r="A827" s="1">
        <v>44846</v>
      </c>
      <c r="B827" t="s">
        <v>842</v>
      </c>
      <c r="C827" t="s">
        <v>25</v>
      </c>
      <c r="D827">
        <v>1088.67</v>
      </c>
      <c r="E827" t="s">
        <v>7</v>
      </c>
      <c r="F827" s="2" t="str">
        <f t="shared" si="36"/>
        <v>Oct</v>
      </c>
      <c r="G827" s="2">
        <f t="shared" si="37"/>
        <v>2022</v>
      </c>
      <c r="H827" s="2">
        <f t="shared" si="38"/>
        <v>-1088.67</v>
      </c>
    </row>
    <row r="828" spans="1:8" x14ac:dyDescent="0.25">
      <c r="A828" s="1">
        <v>44847</v>
      </c>
      <c r="B828" t="s">
        <v>843</v>
      </c>
      <c r="C828" t="s">
        <v>27</v>
      </c>
      <c r="D828">
        <v>1097.24</v>
      </c>
      <c r="E828" t="s">
        <v>7</v>
      </c>
      <c r="F828" s="2" t="str">
        <f t="shared" si="36"/>
        <v>Oct</v>
      </c>
      <c r="G828" s="2">
        <f t="shared" si="37"/>
        <v>2022</v>
      </c>
      <c r="H828" s="2">
        <f t="shared" si="38"/>
        <v>-1097.24</v>
      </c>
    </row>
    <row r="829" spans="1:8" x14ac:dyDescent="0.25">
      <c r="A829" s="1">
        <v>44853</v>
      </c>
      <c r="B829" t="s">
        <v>844</v>
      </c>
      <c r="C829" t="s">
        <v>11</v>
      </c>
      <c r="D829">
        <v>1474.62</v>
      </c>
      <c r="E829" t="s">
        <v>7</v>
      </c>
      <c r="F829" s="2" t="str">
        <f t="shared" si="36"/>
        <v>Oct</v>
      </c>
      <c r="G829" s="2">
        <f t="shared" si="37"/>
        <v>2022</v>
      </c>
      <c r="H829" s="2">
        <f t="shared" si="38"/>
        <v>-1474.62</v>
      </c>
    </row>
    <row r="830" spans="1:8" x14ac:dyDescent="0.25">
      <c r="A830" s="1">
        <v>44853</v>
      </c>
      <c r="B830" t="s">
        <v>845</v>
      </c>
      <c r="C830" t="s">
        <v>22</v>
      </c>
      <c r="D830">
        <v>602.44000000000005</v>
      </c>
      <c r="E830" t="s">
        <v>7</v>
      </c>
      <c r="F830" s="2" t="str">
        <f t="shared" si="36"/>
        <v>Oct</v>
      </c>
      <c r="G830" s="2">
        <f t="shared" si="37"/>
        <v>2022</v>
      </c>
      <c r="H830" s="2">
        <f t="shared" si="38"/>
        <v>-602.44000000000005</v>
      </c>
    </row>
    <row r="831" spans="1:8" x14ac:dyDescent="0.25">
      <c r="A831" s="1">
        <v>44854</v>
      </c>
      <c r="B831" t="s">
        <v>846</v>
      </c>
      <c r="C831" t="s">
        <v>27</v>
      </c>
      <c r="D831">
        <v>533</v>
      </c>
      <c r="E831" t="s">
        <v>7</v>
      </c>
      <c r="F831" s="2" t="str">
        <f t="shared" si="36"/>
        <v>Oct</v>
      </c>
      <c r="G831" s="2">
        <f t="shared" si="37"/>
        <v>2022</v>
      </c>
      <c r="H831" s="2">
        <f t="shared" si="38"/>
        <v>-533</v>
      </c>
    </row>
    <row r="832" spans="1:8" x14ac:dyDescent="0.25">
      <c r="A832" s="1">
        <v>44855</v>
      </c>
      <c r="B832" t="s">
        <v>847</v>
      </c>
      <c r="C832" t="s">
        <v>11</v>
      </c>
      <c r="D832">
        <v>883.75</v>
      </c>
      <c r="E832" t="s">
        <v>7</v>
      </c>
      <c r="F832" s="2" t="str">
        <f t="shared" si="36"/>
        <v>Oct</v>
      </c>
      <c r="G832" s="2">
        <f t="shared" si="37"/>
        <v>2022</v>
      </c>
      <c r="H832" s="2">
        <f t="shared" si="38"/>
        <v>-883.75</v>
      </c>
    </row>
    <row r="833" spans="1:8" x14ac:dyDescent="0.25">
      <c r="A833" s="1">
        <v>44856</v>
      </c>
      <c r="B833" t="s">
        <v>848</v>
      </c>
      <c r="C833" t="s">
        <v>22</v>
      </c>
      <c r="D833">
        <v>427.66</v>
      </c>
      <c r="E833" t="s">
        <v>7</v>
      </c>
      <c r="F833" s="2" t="str">
        <f t="shared" si="36"/>
        <v>Oct</v>
      </c>
      <c r="G833" s="2">
        <f t="shared" si="37"/>
        <v>2022</v>
      </c>
      <c r="H833" s="2">
        <f t="shared" si="38"/>
        <v>-427.66</v>
      </c>
    </row>
    <row r="834" spans="1:8" x14ac:dyDescent="0.25">
      <c r="A834" s="1">
        <v>44857</v>
      </c>
      <c r="B834" t="s">
        <v>849</v>
      </c>
      <c r="C834" t="s">
        <v>25</v>
      </c>
      <c r="D834">
        <v>1723.49</v>
      </c>
      <c r="E834" t="s">
        <v>7</v>
      </c>
      <c r="F834" s="2" t="str">
        <f t="shared" ref="F834:F897" si="39">TEXT(A834,"mmm")</f>
        <v>Oct</v>
      </c>
      <c r="G834" s="2">
        <f t="shared" ref="G834:G897" si="40">YEAR(A834)</f>
        <v>2022</v>
      </c>
      <c r="H834" s="2">
        <f t="shared" ref="H834:H897" si="41">IF(E834="Income",D834,-D834)</f>
        <v>-1723.49</v>
      </c>
    </row>
    <row r="835" spans="1:8" x14ac:dyDescent="0.25">
      <c r="A835" s="1">
        <v>44859</v>
      </c>
      <c r="B835" t="s">
        <v>850</v>
      </c>
      <c r="C835" t="s">
        <v>17</v>
      </c>
      <c r="D835">
        <v>340.3</v>
      </c>
      <c r="E835" t="s">
        <v>7</v>
      </c>
      <c r="F835" s="2" t="str">
        <f t="shared" si="39"/>
        <v>Oct</v>
      </c>
      <c r="G835" s="2">
        <f t="shared" si="40"/>
        <v>2022</v>
      </c>
      <c r="H835" s="2">
        <f t="shared" si="41"/>
        <v>-340.3</v>
      </c>
    </row>
    <row r="836" spans="1:8" x14ac:dyDescent="0.25">
      <c r="A836" s="1">
        <v>44862</v>
      </c>
      <c r="B836" t="s">
        <v>851</v>
      </c>
      <c r="C836" t="s">
        <v>13</v>
      </c>
      <c r="D836">
        <v>2195</v>
      </c>
      <c r="E836" t="s">
        <v>14</v>
      </c>
      <c r="F836" s="2" t="str">
        <f t="shared" si="39"/>
        <v>Oct</v>
      </c>
      <c r="G836" s="2">
        <f t="shared" si="40"/>
        <v>2022</v>
      </c>
      <c r="H836" s="2">
        <f t="shared" si="41"/>
        <v>2195</v>
      </c>
    </row>
    <row r="837" spans="1:8" x14ac:dyDescent="0.25">
      <c r="A837" s="1">
        <v>44864</v>
      </c>
      <c r="B837" t="s">
        <v>852</v>
      </c>
      <c r="C837" t="s">
        <v>25</v>
      </c>
      <c r="D837">
        <v>1069.24</v>
      </c>
      <c r="E837" t="s">
        <v>7</v>
      </c>
      <c r="F837" s="2" t="str">
        <f t="shared" si="39"/>
        <v>Oct</v>
      </c>
      <c r="G837" s="2">
        <f t="shared" si="40"/>
        <v>2022</v>
      </c>
      <c r="H837" s="2">
        <f t="shared" si="41"/>
        <v>-1069.24</v>
      </c>
    </row>
    <row r="838" spans="1:8" x14ac:dyDescent="0.25">
      <c r="A838" s="1">
        <v>44865</v>
      </c>
      <c r="B838" t="s">
        <v>853</v>
      </c>
      <c r="C838" t="s">
        <v>9</v>
      </c>
      <c r="D838">
        <v>654.07000000000005</v>
      </c>
      <c r="E838" t="s">
        <v>7</v>
      </c>
      <c r="F838" s="2" t="str">
        <f t="shared" si="39"/>
        <v>Oct</v>
      </c>
      <c r="G838" s="2">
        <f t="shared" si="40"/>
        <v>2022</v>
      </c>
      <c r="H838" s="2">
        <f t="shared" si="41"/>
        <v>-654.07000000000005</v>
      </c>
    </row>
    <row r="839" spans="1:8" x14ac:dyDescent="0.25">
      <c r="A839" s="1">
        <v>44868</v>
      </c>
      <c r="B839" t="s">
        <v>854</v>
      </c>
      <c r="C839" t="s">
        <v>35</v>
      </c>
      <c r="D839">
        <v>1149.74</v>
      </c>
      <c r="E839" t="s">
        <v>7</v>
      </c>
      <c r="F839" s="2" t="str">
        <f t="shared" si="39"/>
        <v>Nov</v>
      </c>
      <c r="G839" s="2">
        <f t="shared" si="40"/>
        <v>2022</v>
      </c>
      <c r="H839" s="2">
        <f t="shared" si="41"/>
        <v>-1149.74</v>
      </c>
    </row>
    <row r="840" spans="1:8" x14ac:dyDescent="0.25">
      <c r="A840" s="1">
        <v>44869</v>
      </c>
      <c r="B840" t="s">
        <v>855</v>
      </c>
      <c r="C840" t="s">
        <v>11</v>
      </c>
      <c r="D840">
        <v>279.82</v>
      </c>
      <c r="E840" t="s">
        <v>7</v>
      </c>
      <c r="F840" s="2" t="str">
        <f t="shared" si="39"/>
        <v>Nov</v>
      </c>
      <c r="G840" s="2">
        <f t="shared" si="40"/>
        <v>2022</v>
      </c>
      <c r="H840" s="2">
        <f t="shared" si="41"/>
        <v>-279.82</v>
      </c>
    </row>
    <row r="841" spans="1:8" x14ac:dyDescent="0.25">
      <c r="A841" s="1">
        <v>44870</v>
      </c>
      <c r="B841" t="s">
        <v>856</v>
      </c>
      <c r="C841" t="s">
        <v>17</v>
      </c>
      <c r="D841">
        <v>1838.35</v>
      </c>
      <c r="E841" t="s">
        <v>7</v>
      </c>
      <c r="F841" s="2" t="str">
        <f t="shared" si="39"/>
        <v>Nov</v>
      </c>
      <c r="G841" s="2">
        <f t="shared" si="40"/>
        <v>2022</v>
      </c>
      <c r="H841" s="2">
        <f t="shared" si="41"/>
        <v>-1838.35</v>
      </c>
    </row>
    <row r="842" spans="1:8" x14ac:dyDescent="0.25">
      <c r="A842" s="1">
        <v>44872</v>
      </c>
      <c r="B842" t="s">
        <v>857</v>
      </c>
      <c r="C842" t="s">
        <v>9</v>
      </c>
      <c r="D842">
        <v>1405.84</v>
      </c>
      <c r="E842" t="s">
        <v>7</v>
      </c>
      <c r="F842" s="2" t="str">
        <f t="shared" si="39"/>
        <v>Nov</v>
      </c>
      <c r="G842" s="2">
        <f t="shared" si="40"/>
        <v>2022</v>
      </c>
      <c r="H842" s="2">
        <f t="shared" si="41"/>
        <v>-1405.84</v>
      </c>
    </row>
    <row r="843" spans="1:8" x14ac:dyDescent="0.25">
      <c r="A843" s="1">
        <v>44872</v>
      </c>
      <c r="B843" t="s">
        <v>858</v>
      </c>
      <c r="C843" t="s">
        <v>13</v>
      </c>
      <c r="D843">
        <v>3138</v>
      </c>
      <c r="E843" t="s">
        <v>14</v>
      </c>
      <c r="F843" s="2" t="str">
        <f t="shared" si="39"/>
        <v>Nov</v>
      </c>
      <c r="G843" s="2">
        <f t="shared" si="40"/>
        <v>2022</v>
      </c>
      <c r="H843" s="2">
        <f t="shared" si="41"/>
        <v>3138</v>
      </c>
    </row>
    <row r="844" spans="1:8" x14ac:dyDescent="0.25">
      <c r="A844" s="1">
        <v>44874</v>
      </c>
      <c r="B844" t="s">
        <v>859</v>
      </c>
      <c r="C844" t="s">
        <v>17</v>
      </c>
      <c r="D844">
        <v>984.02</v>
      </c>
      <c r="E844" t="s">
        <v>7</v>
      </c>
      <c r="F844" s="2" t="str">
        <f t="shared" si="39"/>
        <v>Nov</v>
      </c>
      <c r="G844" s="2">
        <f t="shared" si="40"/>
        <v>2022</v>
      </c>
      <c r="H844" s="2">
        <f t="shared" si="41"/>
        <v>-984.02</v>
      </c>
    </row>
    <row r="845" spans="1:8" x14ac:dyDescent="0.25">
      <c r="A845" s="1">
        <v>44875</v>
      </c>
      <c r="B845" t="s">
        <v>860</v>
      </c>
      <c r="C845" t="s">
        <v>35</v>
      </c>
      <c r="D845">
        <v>1259.3499999999999</v>
      </c>
      <c r="E845" t="s">
        <v>7</v>
      </c>
      <c r="F845" s="2" t="str">
        <f t="shared" si="39"/>
        <v>Nov</v>
      </c>
      <c r="G845" s="2">
        <f t="shared" si="40"/>
        <v>2022</v>
      </c>
      <c r="H845" s="2">
        <f t="shared" si="41"/>
        <v>-1259.3499999999999</v>
      </c>
    </row>
    <row r="846" spans="1:8" x14ac:dyDescent="0.25">
      <c r="A846" s="1">
        <v>44878</v>
      </c>
      <c r="B846" t="s">
        <v>861</v>
      </c>
      <c r="C846" t="s">
        <v>11</v>
      </c>
      <c r="D846">
        <v>1270.92</v>
      </c>
      <c r="E846" t="s">
        <v>7</v>
      </c>
      <c r="F846" s="2" t="str">
        <f t="shared" si="39"/>
        <v>Nov</v>
      </c>
      <c r="G846" s="2">
        <f t="shared" si="40"/>
        <v>2022</v>
      </c>
      <c r="H846" s="2">
        <f t="shared" si="41"/>
        <v>-1270.92</v>
      </c>
    </row>
    <row r="847" spans="1:8" x14ac:dyDescent="0.25">
      <c r="A847" s="1">
        <v>44879</v>
      </c>
      <c r="B847" t="s">
        <v>862</v>
      </c>
      <c r="C847" t="s">
        <v>11</v>
      </c>
      <c r="D847">
        <v>811.67</v>
      </c>
      <c r="E847" t="s">
        <v>7</v>
      </c>
      <c r="F847" s="2" t="str">
        <f t="shared" si="39"/>
        <v>Nov</v>
      </c>
      <c r="G847" s="2">
        <f t="shared" si="40"/>
        <v>2022</v>
      </c>
      <c r="H847" s="2">
        <f t="shared" si="41"/>
        <v>-811.67</v>
      </c>
    </row>
    <row r="848" spans="1:8" x14ac:dyDescent="0.25">
      <c r="A848" s="1">
        <v>44879</v>
      </c>
      <c r="B848" t="s">
        <v>863</v>
      </c>
      <c r="C848" t="s">
        <v>25</v>
      </c>
      <c r="D848">
        <v>914.84</v>
      </c>
      <c r="E848" t="s">
        <v>7</v>
      </c>
      <c r="F848" s="2" t="str">
        <f t="shared" si="39"/>
        <v>Nov</v>
      </c>
      <c r="G848" s="2">
        <f t="shared" si="40"/>
        <v>2022</v>
      </c>
      <c r="H848" s="2">
        <f t="shared" si="41"/>
        <v>-914.84</v>
      </c>
    </row>
    <row r="849" spans="1:8" x14ac:dyDescent="0.25">
      <c r="A849" s="1">
        <v>44880</v>
      </c>
      <c r="B849" t="s">
        <v>864</v>
      </c>
      <c r="C849" t="s">
        <v>6</v>
      </c>
      <c r="D849">
        <v>1739.13</v>
      </c>
      <c r="E849" t="s">
        <v>7</v>
      </c>
      <c r="F849" s="2" t="str">
        <f t="shared" si="39"/>
        <v>Nov</v>
      </c>
      <c r="G849" s="2">
        <f t="shared" si="40"/>
        <v>2022</v>
      </c>
      <c r="H849" s="2">
        <f t="shared" si="41"/>
        <v>-1739.13</v>
      </c>
    </row>
    <row r="850" spans="1:8" x14ac:dyDescent="0.25">
      <c r="A850" s="1">
        <v>44882</v>
      </c>
      <c r="B850" t="s">
        <v>865</v>
      </c>
      <c r="C850" t="s">
        <v>11</v>
      </c>
      <c r="D850">
        <v>1464.55</v>
      </c>
      <c r="E850" t="s">
        <v>7</v>
      </c>
      <c r="F850" s="2" t="str">
        <f t="shared" si="39"/>
        <v>Nov</v>
      </c>
      <c r="G850" s="2">
        <f t="shared" si="40"/>
        <v>2022</v>
      </c>
      <c r="H850" s="2">
        <f t="shared" si="41"/>
        <v>-1464.55</v>
      </c>
    </row>
    <row r="851" spans="1:8" x14ac:dyDescent="0.25">
      <c r="A851" s="1">
        <v>44882</v>
      </c>
      <c r="B851" t="s">
        <v>866</v>
      </c>
      <c r="C851" t="s">
        <v>25</v>
      </c>
      <c r="D851">
        <v>1701.71</v>
      </c>
      <c r="E851" t="s">
        <v>7</v>
      </c>
      <c r="F851" s="2" t="str">
        <f t="shared" si="39"/>
        <v>Nov</v>
      </c>
      <c r="G851" s="2">
        <f t="shared" si="40"/>
        <v>2022</v>
      </c>
      <c r="H851" s="2">
        <f t="shared" si="41"/>
        <v>-1701.71</v>
      </c>
    </row>
    <row r="852" spans="1:8" x14ac:dyDescent="0.25">
      <c r="A852" s="1">
        <v>44883</v>
      </c>
      <c r="B852" t="s">
        <v>867</v>
      </c>
      <c r="C852" t="s">
        <v>17</v>
      </c>
      <c r="D852">
        <v>443.48</v>
      </c>
      <c r="E852" t="s">
        <v>7</v>
      </c>
      <c r="F852" s="2" t="str">
        <f t="shared" si="39"/>
        <v>Nov</v>
      </c>
      <c r="G852" s="2">
        <f t="shared" si="40"/>
        <v>2022</v>
      </c>
      <c r="H852" s="2">
        <f t="shared" si="41"/>
        <v>-443.48</v>
      </c>
    </row>
    <row r="853" spans="1:8" x14ac:dyDescent="0.25">
      <c r="A853" s="1">
        <v>44884</v>
      </c>
      <c r="B853" t="s">
        <v>868</v>
      </c>
      <c r="C853" t="s">
        <v>22</v>
      </c>
      <c r="D853">
        <v>994.48</v>
      </c>
      <c r="E853" t="s">
        <v>7</v>
      </c>
      <c r="F853" s="2" t="str">
        <f t="shared" si="39"/>
        <v>Nov</v>
      </c>
      <c r="G853" s="2">
        <f t="shared" si="40"/>
        <v>2022</v>
      </c>
      <c r="H853" s="2">
        <f t="shared" si="41"/>
        <v>-994.48</v>
      </c>
    </row>
    <row r="854" spans="1:8" x14ac:dyDescent="0.25">
      <c r="A854" s="1">
        <v>44886</v>
      </c>
      <c r="B854" t="s">
        <v>869</v>
      </c>
      <c r="C854" t="s">
        <v>35</v>
      </c>
      <c r="D854">
        <v>682.13</v>
      </c>
      <c r="E854" t="s">
        <v>7</v>
      </c>
      <c r="F854" s="2" t="str">
        <f t="shared" si="39"/>
        <v>Nov</v>
      </c>
      <c r="G854" s="2">
        <f t="shared" si="40"/>
        <v>2022</v>
      </c>
      <c r="H854" s="2">
        <f t="shared" si="41"/>
        <v>-682.13</v>
      </c>
    </row>
    <row r="855" spans="1:8" x14ac:dyDescent="0.25">
      <c r="A855" s="1">
        <v>44887</v>
      </c>
      <c r="B855" t="s">
        <v>870</v>
      </c>
      <c r="C855" t="s">
        <v>27</v>
      </c>
      <c r="D855">
        <v>1578.72</v>
      </c>
      <c r="E855" t="s">
        <v>7</v>
      </c>
      <c r="F855" s="2" t="str">
        <f t="shared" si="39"/>
        <v>Nov</v>
      </c>
      <c r="G855" s="2">
        <f t="shared" si="40"/>
        <v>2022</v>
      </c>
      <c r="H855" s="2">
        <f t="shared" si="41"/>
        <v>-1578.72</v>
      </c>
    </row>
    <row r="856" spans="1:8" x14ac:dyDescent="0.25">
      <c r="A856" s="1">
        <v>44891</v>
      </c>
      <c r="B856" t="s">
        <v>871</v>
      </c>
      <c r="C856" t="s">
        <v>6</v>
      </c>
      <c r="D856">
        <v>101.43</v>
      </c>
      <c r="E856" t="s">
        <v>7</v>
      </c>
      <c r="F856" s="2" t="str">
        <f t="shared" si="39"/>
        <v>Nov</v>
      </c>
      <c r="G856" s="2">
        <f t="shared" si="40"/>
        <v>2022</v>
      </c>
      <c r="H856" s="2">
        <f t="shared" si="41"/>
        <v>-101.43</v>
      </c>
    </row>
    <row r="857" spans="1:8" x14ac:dyDescent="0.25">
      <c r="A857" s="1">
        <v>44891</v>
      </c>
      <c r="B857" t="s">
        <v>872</v>
      </c>
      <c r="C857" t="s">
        <v>27</v>
      </c>
      <c r="D857">
        <v>42.4</v>
      </c>
      <c r="E857" t="s">
        <v>7</v>
      </c>
      <c r="F857" s="2" t="str">
        <f t="shared" si="39"/>
        <v>Nov</v>
      </c>
      <c r="G857" s="2">
        <f t="shared" si="40"/>
        <v>2022</v>
      </c>
      <c r="H857" s="2">
        <f t="shared" si="41"/>
        <v>-42.4</v>
      </c>
    </row>
    <row r="858" spans="1:8" x14ac:dyDescent="0.25">
      <c r="A858" s="1">
        <v>44893</v>
      </c>
      <c r="B858" t="s">
        <v>873</v>
      </c>
      <c r="C858" t="s">
        <v>9</v>
      </c>
      <c r="D858">
        <v>888.16</v>
      </c>
      <c r="E858" t="s">
        <v>7</v>
      </c>
      <c r="F858" s="2" t="str">
        <f t="shared" si="39"/>
        <v>Nov</v>
      </c>
      <c r="G858" s="2">
        <f t="shared" si="40"/>
        <v>2022</v>
      </c>
      <c r="H858" s="2">
        <f t="shared" si="41"/>
        <v>-888.16</v>
      </c>
    </row>
    <row r="859" spans="1:8" x14ac:dyDescent="0.25">
      <c r="A859" s="1">
        <v>44893</v>
      </c>
      <c r="B859" t="s">
        <v>874</v>
      </c>
      <c r="C859" t="s">
        <v>20</v>
      </c>
      <c r="D859">
        <v>2157</v>
      </c>
      <c r="E859" t="s">
        <v>14</v>
      </c>
      <c r="F859" s="2" t="str">
        <f t="shared" si="39"/>
        <v>Nov</v>
      </c>
      <c r="G859" s="2">
        <f t="shared" si="40"/>
        <v>2022</v>
      </c>
      <c r="H859" s="2">
        <f t="shared" si="41"/>
        <v>2157</v>
      </c>
    </row>
    <row r="860" spans="1:8" x14ac:dyDescent="0.25">
      <c r="A860" s="1">
        <v>44896</v>
      </c>
      <c r="B860" t="s">
        <v>875</v>
      </c>
      <c r="C860" t="s">
        <v>9</v>
      </c>
      <c r="D860">
        <v>1765.47</v>
      </c>
      <c r="E860" t="s">
        <v>7</v>
      </c>
      <c r="F860" s="2" t="str">
        <f t="shared" si="39"/>
        <v>Dec</v>
      </c>
      <c r="G860" s="2">
        <f t="shared" si="40"/>
        <v>2022</v>
      </c>
      <c r="H860" s="2">
        <f t="shared" si="41"/>
        <v>-1765.47</v>
      </c>
    </row>
    <row r="861" spans="1:8" x14ac:dyDescent="0.25">
      <c r="A861" s="1">
        <v>44898</v>
      </c>
      <c r="B861" t="s">
        <v>876</v>
      </c>
      <c r="C861" t="s">
        <v>35</v>
      </c>
      <c r="D861">
        <v>195.75</v>
      </c>
      <c r="E861" t="s">
        <v>7</v>
      </c>
      <c r="F861" s="2" t="str">
        <f t="shared" si="39"/>
        <v>Dec</v>
      </c>
      <c r="G861" s="2">
        <f t="shared" si="40"/>
        <v>2022</v>
      </c>
      <c r="H861" s="2">
        <f t="shared" si="41"/>
        <v>-195.75</v>
      </c>
    </row>
    <row r="862" spans="1:8" x14ac:dyDescent="0.25">
      <c r="A862" s="1">
        <v>44899</v>
      </c>
      <c r="B862" t="s">
        <v>877</v>
      </c>
      <c r="C862" t="s">
        <v>11</v>
      </c>
      <c r="D862">
        <v>749.97</v>
      </c>
      <c r="E862" t="s">
        <v>7</v>
      </c>
      <c r="F862" s="2" t="str">
        <f t="shared" si="39"/>
        <v>Dec</v>
      </c>
      <c r="G862" s="2">
        <f t="shared" si="40"/>
        <v>2022</v>
      </c>
      <c r="H862" s="2">
        <f t="shared" si="41"/>
        <v>-749.97</v>
      </c>
    </row>
    <row r="863" spans="1:8" x14ac:dyDescent="0.25">
      <c r="A863" s="1">
        <v>44900</v>
      </c>
      <c r="B863" t="s">
        <v>878</v>
      </c>
      <c r="C863" t="s">
        <v>9</v>
      </c>
      <c r="D863">
        <v>113.06</v>
      </c>
      <c r="E863" t="s">
        <v>7</v>
      </c>
      <c r="F863" s="2" t="str">
        <f t="shared" si="39"/>
        <v>Dec</v>
      </c>
      <c r="G863" s="2">
        <f t="shared" si="40"/>
        <v>2022</v>
      </c>
      <c r="H863" s="2">
        <f t="shared" si="41"/>
        <v>-113.06</v>
      </c>
    </row>
    <row r="864" spans="1:8" x14ac:dyDescent="0.25">
      <c r="A864" s="1">
        <v>44900</v>
      </c>
      <c r="B864" t="s">
        <v>879</v>
      </c>
      <c r="C864" t="s">
        <v>22</v>
      </c>
      <c r="D864">
        <v>864.17</v>
      </c>
      <c r="E864" t="s">
        <v>7</v>
      </c>
      <c r="F864" s="2" t="str">
        <f t="shared" si="39"/>
        <v>Dec</v>
      </c>
      <c r="G864" s="2">
        <f t="shared" si="40"/>
        <v>2022</v>
      </c>
      <c r="H864" s="2">
        <f t="shared" si="41"/>
        <v>-864.17</v>
      </c>
    </row>
    <row r="865" spans="1:8" x14ac:dyDescent="0.25">
      <c r="A865" s="1">
        <v>44902</v>
      </c>
      <c r="B865" t="s">
        <v>880</v>
      </c>
      <c r="C865" t="s">
        <v>13</v>
      </c>
      <c r="D865">
        <v>508</v>
      </c>
      <c r="E865" t="s">
        <v>14</v>
      </c>
      <c r="F865" s="2" t="str">
        <f t="shared" si="39"/>
        <v>Dec</v>
      </c>
      <c r="G865" s="2">
        <f t="shared" si="40"/>
        <v>2022</v>
      </c>
      <c r="H865" s="2">
        <f t="shared" si="41"/>
        <v>508</v>
      </c>
    </row>
    <row r="866" spans="1:8" x14ac:dyDescent="0.25">
      <c r="A866" s="1">
        <v>44907</v>
      </c>
      <c r="B866" t="s">
        <v>881</v>
      </c>
      <c r="C866" t="s">
        <v>11</v>
      </c>
      <c r="D866">
        <v>274.07</v>
      </c>
      <c r="E866" t="s">
        <v>7</v>
      </c>
      <c r="F866" s="2" t="str">
        <f t="shared" si="39"/>
        <v>Dec</v>
      </c>
      <c r="G866" s="2">
        <f t="shared" si="40"/>
        <v>2022</v>
      </c>
      <c r="H866" s="2">
        <f t="shared" si="41"/>
        <v>-274.07</v>
      </c>
    </row>
    <row r="867" spans="1:8" x14ac:dyDescent="0.25">
      <c r="A867" s="1">
        <v>44908</v>
      </c>
      <c r="B867" t="s">
        <v>882</v>
      </c>
      <c r="C867" t="s">
        <v>27</v>
      </c>
      <c r="D867">
        <v>28.48</v>
      </c>
      <c r="E867" t="s">
        <v>7</v>
      </c>
      <c r="F867" s="2" t="str">
        <f t="shared" si="39"/>
        <v>Dec</v>
      </c>
      <c r="G867" s="2">
        <f t="shared" si="40"/>
        <v>2022</v>
      </c>
      <c r="H867" s="2">
        <f t="shared" si="41"/>
        <v>-28.48</v>
      </c>
    </row>
    <row r="868" spans="1:8" x14ac:dyDescent="0.25">
      <c r="A868" s="1">
        <v>44910</v>
      </c>
      <c r="B868" t="s">
        <v>883</v>
      </c>
      <c r="C868" t="s">
        <v>11</v>
      </c>
      <c r="D868">
        <v>1976.43</v>
      </c>
      <c r="E868" t="s">
        <v>7</v>
      </c>
      <c r="F868" s="2" t="str">
        <f t="shared" si="39"/>
        <v>Dec</v>
      </c>
      <c r="G868" s="2">
        <f t="shared" si="40"/>
        <v>2022</v>
      </c>
      <c r="H868" s="2">
        <f t="shared" si="41"/>
        <v>-1976.43</v>
      </c>
    </row>
    <row r="869" spans="1:8" x14ac:dyDescent="0.25">
      <c r="A869" s="1">
        <v>44911</v>
      </c>
      <c r="B869" t="s">
        <v>884</v>
      </c>
      <c r="C869" t="s">
        <v>9</v>
      </c>
      <c r="D869">
        <v>960.62</v>
      </c>
      <c r="E869" t="s">
        <v>7</v>
      </c>
      <c r="F869" s="2" t="str">
        <f t="shared" si="39"/>
        <v>Dec</v>
      </c>
      <c r="G869" s="2">
        <f t="shared" si="40"/>
        <v>2022</v>
      </c>
      <c r="H869" s="2">
        <f t="shared" si="41"/>
        <v>-960.62</v>
      </c>
    </row>
    <row r="870" spans="1:8" x14ac:dyDescent="0.25">
      <c r="A870" s="1">
        <v>44913</v>
      </c>
      <c r="B870" t="s">
        <v>885</v>
      </c>
      <c r="C870" t="s">
        <v>11</v>
      </c>
      <c r="D870">
        <v>1464.22</v>
      </c>
      <c r="E870" t="s">
        <v>7</v>
      </c>
      <c r="F870" s="2" t="str">
        <f t="shared" si="39"/>
        <v>Dec</v>
      </c>
      <c r="G870" s="2">
        <f t="shared" si="40"/>
        <v>2022</v>
      </c>
      <c r="H870" s="2">
        <f t="shared" si="41"/>
        <v>-1464.22</v>
      </c>
    </row>
    <row r="871" spans="1:8" x14ac:dyDescent="0.25">
      <c r="A871" s="1">
        <v>44917</v>
      </c>
      <c r="B871" t="s">
        <v>886</v>
      </c>
      <c r="C871" t="s">
        <v>20</v>
      </c>
      <c r="D871">
        <v>3511</v>
      </c>
      <c r="E871" t="s">
        <v>14</v>
      </c>
      <c r="F871" s="2" t="str">
        <f t="shared" si="39"/>
        <v>Dec</v>
      </c>
      <c r="G871" s="2">
        <f t="shared" si="40"/>
        <v>2022</v>
      </c>
      <c r="H871" s="2">
        <f t="shared" si="41"/>
        <v>3511</v>
      </c>
    </row>
    <row r="872" spans="1:8" x14ac:dyDescent="0.25">
      <c r="A872" s="1">
        <v>44923</v>
      </c>
      <c r="B872" t="s">
        <v>887</v>
      </c>
      <c r="C872" t="s">
        <v>9</v>
      </c>
      <c r="D872">
        <v>771.61</v>
      </c>
      <c r="E872" t="s">
        <v>7</v>
      </c>
      <c r="F872" s="2" t="str">
        <f t="shared" si="39"/>
        <v>Dec</v>
      </c>
      <c r="G872" s="2">
        <f t="shared" si="40"/>
        <v>2022</v>
      </c>
      <c r="H872" s="2">
        <f t="shared" si="41"/>
        <v>-771.61</v>
      </c>
    </row>
    <row r="873" spans="1:8" x14ac:dyDescent="0.25">
      <c r="A873" s="1">
        <v>44925</v>
      </c>
      <c r="B873" t="s">
        <v>888</v>
      </c>
      <c r="C873" t="s">
        <v>9</v>
      </c>
      <c r="D873">
        <v>1286.74</v>
      </c>
      <c r="E873" t="s">
        <v>7</v>
      </c>
      <c r="F873" s="2" t="str">
        <f t="shared" si="39"/>
        <v>Dec</v>
      </c>
      <c r="G873" s="2">
        <f t="shared" si="40"/>
        <v>2022</v>
      </c>
      <c r="H873" s="2">
        <f t="shared" si="41"/>
        <v>-1286.74</v>
      </c>
    </row>
    <row r="874" spans="1:8" x14ac:dyDescent="0.25">
      <c r="A874" s="1">
        <v>44926</v>
      </c>
      <c r="B874" t="s">
        <v>889</v>
      </c>
      <c r="C874" t="s">
        <v>11</v>
      </c>
      <c r="D874">
        <v>1065.71</v>
      </c>
      <c r="E874" t="s">
        <v>7</v>
      </c>
      <c r="F874" s="2" t="str">
        <f t="shared" si="39"/>
        <v>Dec</v>
      </c>
      <c r="G874" s="2">
        <f t="shared" si="40"/>
        <v>2022</v>
      </c>
      <c r="H874" s="2">
        <f t="shared" si="41"/>
        <v>-1065.71</v>
      </c>
    </row>
    <row r="875" spans="1:8" x14ac:dyDescent="0.25">
      <c r="A875" s="1">
        <v>44929</v>
      </c>
      <c r="B875" t="s">
        <v>890</v>
      </c>
      <c r="C875" t="s">
        <v>13</v>
      </c>
      <c r="D875">
        <v>4105</v>
      </c>
      <c r="E875" t="s">
        <v>14</v>
      </c>
      <c r="F875" s="2" t="str">
        <f t="shared" si="39"/>
        <v>Jan</v>
      </c>
      <c r="G875" s="2">
        <f t="shared" si="40"/>
        <v>2023</v>
      </c>
      <c r="H875" s="2">
        <f t="shared" si="41"/>
        <v>4105</v>
      </c>
    </row>
    <row r="876" spans="1:8" x14ac:dyDescent="0.25">
      <c r="A876" s="1">
        <v>44930</v>
      </c>
      <c r="B876" t="s">
        <v>891</v>
      </c>
      <c r="C876" t="s">
        <v>22</v>
      </c>
      <c r="D876">
        <v>1259.8800000000001</v>
      </c>
      <c r="E876" t="s">
        <v>7</v>
      </c>
      <c r="F876" s="2" t="str">
        <f t="shared" si="39"/>
        <v>Jan</v>
      </c>
      <c r="G876" s="2">
        <f t="shared" si="40"/>
        <v>2023</v>
      </c>
      <c r="H876" s="2">
        <f t="shared" si="41"/>
        <v>-1259.8800000000001</v>
      </c>
    </row>
    <row r="877" spans="1:8" x14ac:dyDescent="0.25">
      <c r="A877" s="1">
        <v>44930</v>
      </c>
      <c r="B877" t="s">
        <v>892</v>
      </c>
      <c r="C877" t="s">
        <v>20</v>
      </c>
      <c r="D877">
        <v>4124</v>
      </c>
      <c r="E877" t="s">
        <v>14</v>
      </c>
      <c r="F877" s="2" t="str">
        <f t="shared" si="39"/>
        <v>Jan</v>
      </c>
      <c r="G877" s="2">
        <f t="shared" si="40"/>
        <v>2023</v>
      </c>
      <c r="H877" s="2">
        <f t="shared" si="41"/>
        <v>4124</v>
      </c>
    </row>
    <row r="878" spans="1:8" x14ac:dyDescent="0.25">
      <c r="A878" s="1">
        <v>44932</v>
      </c>
      <c r="B878" t="s">
        <v>893</v>
      </c>
      <c r="C878" t="s">
        <v>11</v>
      </c>
      <c r="D878">
        <v>1794.22</v>
      </c>
      <c r="E878" t="s">
        <v>7</v>
      </c>
      <c r="F878" s="2" t="str">
        <f t="shared" si="39"/>
        <v>Jan</v>
      </c>
      <c r="G878" s="2">
        <f t="shared" si="40"/>
        <v>2023</v>
      </c>
      <c r="H878" s="2">
        <f t="shared" si="41"/>
        <v>-1794.22</v>
      </c>
    </row>
    <row r="879" spans="1:8" x14ac:dyDescent="0.25">
      <c r="A879" s="1">
        <v>44935</v>
      </c>
      <c r="B879" t="s">
        <v>894</v>
      </c>
      <c r="C879" t="s">
        <v>13</v>
      </c>
      <c r="D879">
        <v>3645</v>
      </c>
      <c r="E879" t="s">
        <v>14</v>
      </c>
      <c r="F879" s="2" t="str">
        <f t="shared" si="39"/>
        <v>Jan</v>
      </c>
      <c r="G879" s="2">
        <f t="shared" si="40"/>
        <v>2023</v>
      </c>
      <c r="H879" s="2">
        <f t="shared" si="41"/>
        <v>3645</v>
      </c>
    </row>
    <row r="880" spans="1:8" x14ac:dyDescent="0.25">
      <c r="A880" s="1">
        <v>44936</v>
      </c>
      <c r="B880" t="s">
        <v>895</v>
      </c>
      <c r="C880" t="s">
        <v>17</v>
      </c>
      <c r="D880">
        <v>635.86</v>
      </c>
      <c r="E880" t="s">
        <v>7</v>
      </c>
      <c r="F880" s="2" t="str">
        <f t="shared" si="39"/>
        <v>Jan</v>
      </c>
      <c r="G880" s="2">
        <f t="shared" si="40"/>
        <v>2023</v>
      </c>
      <c r="H880" s="2">
        <f t="shared" si="41"/>
        <v>-635.86</v>
      </c>
    </row>
    <row r="881" spans="1:8" x14ac:dyDescent="0.25">
      <c r="A881" s="1">
        <v>44937</v>
      </c>
      <c r="B881" t="s">
        <v>896</v>
      </c>
      <c r="C881" t="s">
        <v>20</v>
      </c>
      <c r="D881">
        <v>1190</v>
      </c>
      <c r="E881" t="s">
        <v>14</v>
      </c>
      <c r="F881" s="2" t="str">
        <f t="shared" si="39"/>
        <v>Jan</v>
      </c>
      <c r="G881" s="2">
        <f t="shared" si="40"/>
        <v>2023</v>
      </c>
      <c r="H881" s="2">
        <f t="shared" si="41"/>
        <v>1190</v>
      </c>
    </row>
    <row r="882" spans="1:8" x14ac:dyDescent="0.25">
      <c r="A882" s="1">
        <v>44939</v>
      </c>
      <c r="B882" t="s">
        <v>897</v>
      </c>
      <c r="C882" t="s">
        <v>35</v>
      </c>
      <c r="D882">
        <v>1560.15</v>
      </c>
      <c r="E882" t="s">
        <v>7</v>
      </c>
      <c r="F882" s="2" t="str">
        <f t="shared" si="39"/>
        <v>Jan</v>
      </c>
      <c r="G882" s="2">
        <f t="shared" si="40"/>
        <v>2023</v>
      </c>
      <c r="H882" s="2">
        <f t="shared" si="41"/>
        <v>-1560.15</v>
      </c>
    </row>
    <row r="883" spans="1:8" x14ac:dyDescent="0.25">
      <c r="A883" s="1">
        <v>44941</v>
      </c>
      <c r="B883" t="s">
        <v>898</v>
      </c>
      <c r="C883" t="s">
        <v>35</v>
      </c>
      <c r="D883">
        <v>418.84</v>
      </c>
      <c r="E883" t="s">
        <v>7</v>
      </c>
      <c r="F883" s="2" t="str">
        <f t="shared" si="39"/>
        <v>Jan</v>
      </c>
      <c r="G883" s="2">
        <f t="shared" si="40"/>
        <v>2023</v>
      </c>
      <c r="H883" s="2">
        <f t="shared" si="41"/>
        <v>-418.84</v>
      </c>
    </row>
    <row r="884" spans="1:8" x14ac:dyDescent="0.25">
      <c r="A884" s="1">
        <v>44942</v>
      </c>
      <c r="B884" t="s">
        <v>899</v>
      </c>
      <c r="C884" t="s">
        <v>22</v>
      </c>
      <c r="D884">
        <v>1498.21</v>
      </c>
      <c r="E884" t="s">
        <v>7</v>
      </c>
      <c r="F884" s="2" t="str">
        <f t="shared" si="39"/>
        <v>Jan</v>
      </c>
      <c r="G884" s="2">
        <f t="shared" si="40"/>
        <v>2023</v>
      </c>
      <c r="H884" s="2">
        <f t="shared" si="41"/>
        <v>-1498.21</v>
      </c>
    </row>
    <row r="885" spans="1:8" x14ac:dyDescent="0.25">
      <c r="A885" s="1">
        <v>44943</v>
      </c>
      <c r="B885" t="s">
        <v>900</v>
      </c>
      <c r="C885" t="s">
        <v>6</v>
      </c>
      <c r="D885">
        <v>1569.77</v>
      </c>
      <c r="E885" t="s">
        <v>7</v>
      </c>
      <c r="F885" s="2" t="str">
        <f t="shared" si="39"/>
        <v>Jan</v>
      </c>
      <c r="G885" s="2">
        <f t="shared" si="40"/>
        <v>2023</v>
      </c>
      <c r="H885" s="2">
        <f t="shared" si="41"/>
        <v>-1569.77</v>
      </c>
    </row>
    <row r="886" spans="1:8" x14ac:dyDescent="0.25">
      <c r="A886" s="1">
        <v>44944</v>
      </c>
      <c r="B886" t="s">
        <v>901</v>
      </c>
      <c r="C886" t="s">
        <v>22</v>
      </c>
      <c r="D886">
        <v>994.83</v>
      </c>
      <c r="E886" t="s">
        <v>7</v>
      </c>
      <c r="F886" s="2" t="str">
        <f t="shared" si="39"/>
        <v>Jan</v>
      </c>
      <c r="G886" s="2">
        <f t="shared" si="40"/>
        <v>2023</v>
      </c>
      <c r="H886" s="2">
        <f t="shared" si="41"/>
        <v>-994.83</v>
      </c>
    </row>
    <row r="887" spans="1:8" x14ac:dyDescent="0.25">
      <c r="A887" s="1">
        <v>44945</v>
      </c>
      <c r="B887" t="s">
        <v>902</v>
      </c>
      <c r="C887" t="s">
        <v>20</v>
      </c>
      <c r="D887">
        <v>1081</v>
      </c>
      <c r="E887" t="s">
        <v>14</v>
      </c>
      <c r="F887" s="2" t="str">
        <f t="shared" si="39"/>
        <v>Jan</v>
      </c>
      <c r="G887" s="2">
        <f t="shared" si="40"/>
        <v>2023</v>
      </c>
      <c r="H887" s="2">
        <f t="shared" si="41"/>
        <v>1081</v>
      </c>
    </row>
    <row r="888" spans="1:8" x14ac:dyDescent="0.25">
      <c r="A888" s="1">
        <v>44945</v>
      </c>
      <c r="B888" t="s">
        <v>903</v>
      </c>
      <c r="C888" t="s">
        <v>6</v>
      </c>
      <c r="D888">
        <v>1973.9</v>
      </c>
      <c r="E888" t="s">
        <v>7</v>
      </c>
      <c r="F888" s="2" t="str">
        <f t="shared" si="39"/>
        <v>Jan</v>
      </c>
      <c r="G888" s="2">
        <f t="shared" si="40"/>
        <v>2023</v>
      </c>
      <c r="H888" s="2">
        <f t="shared" si="41"/>
        <v>-1973.9</v>
      </c>
    </row>
    <row r="889" spans="1:8" x14ac:dyDescent="0.25">
      <c r="A889" s="1">
        <v>44945</v>
      </c>
      <c r="B889" t="s">
        <v>904</v>
      </c>
      <c r="C889" t="s">
        <v>9</v>
      </c>
      <c r="D889">
        <v>779.81</v>
      </c>
      <c r="E889" t="s">
        <v>7</v>
      </c>
      <c r="F889" s="2" t="str">
        <f t="shared" si="39"/>
        <v>Jan</v>
      </c>
      <c r="G889" s="2">
        <f t="shared" si="40"/>
        <v>2023</v>
      </c>
      <c r="H889" s="2">
        <f t="shared" si="41"/>
        <v>-779.81</v>
      </c>
    </row>
    <row r="890" spans="1:8" x14ac:dyDescent="0.25">
      <c r="A890" s="1">
        <v>44945</v>
      </c>
      <c r="B890" t="s">
        <v>905</v>
      </c>
      <c r="C890" t="s">
        <v>17</v>
      </c>
      <c r="D890">
        <v>737.17</v>
      </c>
      <c r="E890" t="s">
        <v>7</v>
      </c>
      <c r="F890" s="2" t="str">
        <f t="shared" si="39"/>
        <v>Jan</v>
      </c>
      <c r="G890" s="2">
        <f t="shared" si="40"/>
        <v>2023</v>
      </c>
      <c r="H890" s="2">
        <f t="shared" si="41"/>
        <v>-737.17</v>
      </c>
    </row>
    <row r="891" spans="1:8" x14ac:dyDescent="0.25">
      <c r="A891" s="1">
        <v>44945</v>
      </c>
      <c r="B891" t="s">
        <v>906</v>
      </c>
      <c r="C891" t="s">
        <v>27</v>
      </c>
      <c r="D891">
        <v>1909.36</v>
      </c>
      <c r="E891" t="s">
        <v>7</v>
      </c>
      <c r="F891" s="2" t="str">
        <f t="shared" si="39"/>
        <v>Jan</v>
      </c>
      <c r="G891" s="2">
        <f t="shared" si="40"/>
        <v>2023</v>
      </c>
      <c r="H891" s="2">
        <f t="shared" si="41"/>
        <v>-1909.36</v>
      </c>
    </row>
    <row r="892" spans="1:8" x14ac:dyDescent="0.25">
      <c r="A892" s="1">
        <v>44946</v>
      </c>
      <c r="B892" t="s">
        <v>907</v>
      </c>
      <c r="C892" t="s">
        <v>6</v>
      </c>
      <c r="D892">
        <v>1178.8499999999999</v>
      </c>
      <c r="E892" t="s">
        <v>7</v>
      </c>
      <c r="F892" s="2" t="str">
        <f t="shared" si="39"/>
        <v>Jan</v>
      </c>
      <c r="G892" s="2">
        <f t="shared" si="40"/>
        <v>2023</v>
      </c>
      <c r="H892" s="2">
        <f t="shared" si="41"/>
        <v>-1178.8499999999999</v>
      </c>
    </row>
    <row r="893" spans="1:8" x14ac:dyDescent="0.25">
      <c r="A893" s="1">
        <v>44947</v>
      </c>
      <c r="B893" t="s">
        <v>908</v>
      </c>
      <c r="C893" t="s">
        <v>13</v>
      </c>
      <c r="D893">
        <v>826</v>
      </c>
      <c r="E893" t="s">
        <v>14</v>
      </c>
      <c r="F893" s="2" t="str">
        <f t="shared" si="39"/>
        <v>Jan</v>
      </c>
      <c r="G893" s="2">
        <f t="shared" si="40"/>
        <v>2023</v>
      </c>
      <c r="H893" s="2">
        <f t="shared" si="41"/>
        <v>826</v>
      </c>
    </row>
    <row r="894" spans="1:8" x14ac:dyDescent="0.25">
      <c r="A894" s="1">
        <v>44947</v>
      </c>
      <c r="B894" t="s">
        <v>909</v>
      </c>
      <c r="C894" t="s">
        <v>17</v>
      </c>
      <c r="D894">
        <v>1018.16</v>
      </c>
      <c r="E894" t="s">
        <v>7</v>
      </c>
      <c r="F894" s="2" t="str">
        <f t="shared" si="39"/>
        <v>Jan</v>
      </c>
      <c r="G894" s="2">
        <f t="shared" si="40"/>
        <v>2023</v>
      </c>
      <c r="H894" s="2">
        <f t="shared" si="41"/>
        <v>-1018.16</v>
      </c>
    </row>
    <row r="895" spans="1:8" x14ac:dyDescent="0.25">
      <c r="A895" s="1">
        <v>44948</v>
      </c>
      <c r="B895" t="s">
        <v>910</v>
      </c>
      <c r="C895" t="s">
        <v>17</v>
      </c>
      <c r="D895">
        <v>852.91</v>
      </c>
      <c r="E895" t="s">
        <v>7</v>
      </c>
      <c r="F895" s="2" t="str">
        <f t="shared" si="39"/>
        <v>Jan</v>
      </c>
      <c r="G895" s="2">
        <f t="shared" si="40"/>
        <v>2023</v>
      </c>
      <c r="H895" s="2">
        <f t="shared" si="41"/>
        <v>-852.91</v>
      </c>
    </row>
    <row r="896" spans="1:8" x14ac:dyDescent="0.25">
      <c r="A896" s="1">
        <v>44949</v>
      </c>
      <c r="B896" t="s">
        <v>911</v>
      </c>
      <c r="C896" t="s">
        <v>9</v>
      </c>
      <c r="D896">
        <v>562.16</v>
      </c>
      <c r="E896" t="s">
        <v>7</v>
      </c>
      <c r="F896" s="2" t="str">
        <f t="shared" si="39"/>
        <v>Jan</v>
      </c>
      <c r="G896" s="2">
        <f t="shared" si="40"/>
        <v>2023</v>
      </c>
      <c r="H896" s="2">
        <f t="shared" si="41"/>
        <v>-562.16</v>
      </c>
    </row>
    <row r="897" spans="1:8" x14ac:dyDescent="0.25">
      <c r="A897" s="1">
        <v>44949</v>
      </c>
      <c r="B897" t="s">
        <v>912</v>
      </c>
      <c r="C897" t="s">
        <v>22</v>
      </c>
      <c r="D897">
        <v>1948.88</v>
      </c>
      <c r="E897" t="s">
        <v>7</v>
      </c>
      <c r="F897" s="2" t="str">
        <f t="shared" si="39"/>
        <v>Jan</v>
      </c>
      <c r="G897" s="2">
        <f t="shared" si="40"/>
        <v>2023</v>
      </c>
      <c r="H897" s="2">
        <f t="shared" si="41"/>
        <v>-1948.88</v>
      </c>
    </row>
    <row r="898" spans="1:8" x14ac:dyDescent="0.25">
      <c r="A898" s="1">
        <v>44949</v>
      </c>
      <c r="B898" t="s">
        <v>913</v>
      </c>
      <c r="C898" t="s">
        <v>20</v>
      </c>
      <c r="D898">
        <v>3700</v>
      </c>
      <c r="E898" t="s">
        <v>14</v>
      </c>
      <c r="F898" s="2" t="str">
        <f t="shared" ref="F898:F961" si="42">TEXT(A898,"mmm")</f>
        <v>Jan</v>
      </c>
      <c r="G898" s="2">
        <f t="shared" ref="G898:G961" si="43">YEAR(A898)</f>
        <v>2023</v>
      </c>
      <c r="H898" s="2">
        <f t="shared" ref="H898:H961" si="44">IF(E898="Income",D898,-D898)</f>
        <v>3700</v>
      </c>
    </row>
    <row r="899" spans="1:8" x14ac:dyDescent="0.25">
      <c r="A899" s="1">
        <v>44950</v>
      </c>
      <c r="B899" t="s">
        <v>914</v>
      </c>
      <c r="C899" t="s">
        <v>11</v>
      </c>
      <c r="D899">
        <v>627.24</v>
      </c>
      <c r="E899" t="s">
        <v>7</v>
      </c>
      <c r="F899" s="2" t="str">
        <f t="shared" si="42"/>
        <v>Jan</v>
      </c>
      <c r="G899" s="2">
        <f t="shared" si="43"/>
        <v>2023</v>
      </c>
      <c r="H899" s="2">
        <f t="shared" si="44"/>
        <v>-627.24</v>
      </c>
    </row>
    <row r="900" spans="1:8" x14ac:dyDescent="0.25">
      <c r="A900" s="1">
        <v>44950</v>
      </c>
      <c r="B900" t="s">
        <v>915</v>
      </c>
      <c r="C900" t="s">
        <v>22</v>
      </c>
      <c r="D900">
        <v>125.23</v>
      </c>
      <c r="E900" t="s">
        <v>7</v>
      </c>
      <c r="F900" s="2" t="str">
        <f t="shared" si="42"/>
        <v>Jan</v>
      </c>
      <c r="G900" s="2">
        <f t="shared" si="43"/>
        <v>2023</v>
      </c>
      <c r="H900" s="2">
        <f t="shared" si="44"/>
        <v>-125.23</v>
      </c>
    </row>
    <row r="901" spans="1:8" x14ac:dyDescent="0.25">
      <c r="A901" s="1">
        <v>44950</v>
      </c>
      <c r="B901" t="s">
        <v>916</v>
      </c>
      <c r="C901" t="s">
        <v>20</v>
      </c>
      <c r="D901">
        <v>1450</v>
      </c>
      <c r="E901" t="s">
        <v>14</v>
      </c>
      <c r="F901" s="2" t="str">
        <f t="shared" si="42"/>
        <v>Jan</v>
      </c>
      <c r="G901" s="2">
        <f t="shared" si="43"/>
        <v>2023</v>
      </c>
      <c r="H901" s="2">
        <f t="shared" si="44"/>
        <v>1450</v>
      </c>
    </row>
    <row r="902" spans="1:8" x14ac:dyDescent="0.25">
      <c r="A902" s="1">
        <v>44950</v>
      </c>
      <c r="B902" t="s">
        <v>917</v>
      </c>
      <c r="C902" t="s">
        <v>6</v>
      </c>
      <c r="D902">
        <v>625.49</v>
      </c>
      <c r="E902" t="s">
        <v>7</v>
      </c>
      <c r="F902" s="2" t="str">
        <f t="shared" si="42"/>
        <v>Jan</v>
      </c>
      <c r="G902" s="2">
        <f t="shared" si="43"/>
        <v>2023</v>
      </c>
      <c r="H902" s="2">
        <f t="shared" si="44"/>
        <v>-625.49</v>
      </c>
    </row>
    <row r="903" spans="1:8" x14ac:dyDescent="0.25">
      <c r="A903" s="1">
        <v>44950</v>
      </c>
      <c r="B903" t="s">
        <v>918</v>
      </c>
      <c r="C903" t="s">
        <v>9</v>
      </c>
      <c r="D903">
        <v>247.69</v>
      </c>
      <c r="E903" t="s">
        <v>7</v>
      </c>
      <c r="F903" s="2" t="str">
        <f t="shared" si="42"/>
        <v>Jan</v>
      </c>
      <c r="G903" s="2">
        <f t="shared" si="43"/>
        <v>2023</v>
      </c>
      <c r="H903" s="2">
        <f t="shared" si="44"/>
        <v>-247.69</v>
      </c>
    </row>
    <row r="904" spans="1:8" x14ac:dyDescent="0.25">
      <c r="A904" s="1">
        <v>44950</v>
      </c>
      <c r="B904" t="s">
        <v>919</v>
      </c>
      <c r="C904" t="s">
        <v>6</v>
      </c>
      <c r="D904">
        <v>336.03</v>
      </c>
      <c r="E904" t="s">
        <v>7</v>
      </c>
      <c r="F904" s="2" t="str">
        <f t="shared" si="42"/>
        <v>Jan</v>
      </c>
      <c r="G904" s="2">
        <f t="shared" si="43"/>
        <v>2023</v>
      </c>
      <c r="H904" s="2">
        <f t="shared" si="44"/>
        <v>-336.03</v>
      </c>
    </row>
    <row r="905" spans="1:8" x14ac:dyDescent="0.25">
      <c r="A905" s="1">
        <v>44951</v>
      </c>
      <c r="B905" t="s">
        <v>920</v>
      </c>
      <c r="C905" t="s">
        <v>35</v>
      </c>
      <c r="D905">
        <v>342.26</v>
      </c>
      <c r="E905" t="s">
        <v>7</v>
      </c>
      <c r="F905" s="2" t="str">
        <f t="shared" si="42"/>
        <v>Jan</v>
      </c>
      <c r="G905" s="2">
        <f t="shared" si="43"/>
        <v>2023</v>
      </c>
      <c r="H905" s="2">
        <f t="shared" si="44"/>
        <v>-342.26</v>
      </c>
    </row>
    <row r="906" spans="1:8" x14ac:dyDescent="0.25">
      <c r="A906" s="1">
        <v>44952</v>
      </c>
      <c r="B906" t="s">
        <v>921</v>
      </c>
      <c r="C906" t="s">
        <v>20</v>
      </c>
      <c r="D906">
        <v>1467</v>
      </c>
      <c r="E906" t="s">
        <v>14</v>
      </c>
      <c r="F906" s="2" t="str">
        <f t="shared" si="42"/>
        <v>Jan</v>
      </c>
      <c r="G906" s="2">
        <f t="shared" si="43"/>
        <v>2023</v>
      </c>
      <c r="H906" s="2">
        <f t="shared" si="44"/>
        <v>1467</v>
      </c>
    </row>
    <row r="907" spans="1:8" x14ac:dyDescent="0.25">
      <c r="A907" s="1">
        <v>44953</v>
      </c>
      <c r="B907" t="s">
        <v>922</v>
      </c>
      <c r="C907" t="s">
        <v>6</v>
      </c>
      <c r="D907">
        <v>676.67</v>
      </c>
      <c r="E907" t="s">
        <v>7</v>
      </c>
      <c r="F907" s="2" t="str">
        <f t="shared" si="42"/>
        <v>Jan</v>
      </c>
      <c r="G907" s="2">
        <f t="shared" si="43"/>
        <v>2023</v>
      </c>
      <c r="H907" s="2">
        <f t="shared" si="44"/>
        <v>-676.67</v>
      </c>
    </row>
    <row r="908" spans="1:8" x14ac:dyDescent="0.25">
      <c r="A908" s="1">
        <v>44953</v>
      </c>
      <c r="B908" t="s">
        <v>923</v>
      </c>
      <c r="C908" t="s">
        <v>11</v>
      </c>
      <c r="D908">
        <v>533.27</v>
      </c>
      <c r="E908" t="s">
        <v>7</v>
      </c>
      <c r="F908" s="2" t="str">
        <f t="shared" si="42"/>
        <v>Jan</v>
      </c>
      <c r="G908" s="2">
        <f t="shared" si="43"/>
        <v>2023</v>
      </c>
      <c r="H908" s="2">
        <f t="shared" si="44"/>
        <v>-533.27</v>
      </c>
    </row>
    <row r="909" spans="1:8" x14ac:dyDescent="0.25">
      <c r="A909" s="1">
        <v>44954</v>
      </c>
      <c r="B909" t="s">
        <v>924</v>
      </c>
      <c r="C909" t="s">
        <v>11</v>
      </c>
      <c r="D909">
        <v>997.33</v>
      </c>
      <c r="E909" t="s">
        <v>7</v>
      </c>
      <c r="F909" s="2" t="str">
        <f t="shared" si="42"/>
        <v>Jan</v>
      </c>
      <c r="G909" s="2">
        <f t="shared" si="43"/>
        <v>2023</v>
      </c>
      <c r="H909" s="2">
        <f t="shared" si="44"/>
        <v>-997.33</v>
      </c>
    </row>
    <row r="910" spans="1:8" x14ac:dyDescent="0.25">
      <c r="A910" s="1">
        <v>44955</v>
      </c>
      <c r="B910" t="s">
        <v>925</v>
      </c>
      <c r="C910" t="s">
        <v>6</v>
      </c>
      <c r="D910">
        <v>1004.22</v>
      </c>
      <c r="E910" t="s">
        <v>7</v>
      </c>
      <c r="F910" s="2" t="str">
        <f t="shared" si="42"/>
        <v>Jan</v>
      </c>
      <c r="G910" s="2">
        <f t="shared" si="43"/>
        <v>2023</v>
      </c>
      <c r="H910" s="2">
        <f t="shared" si="44"/>
        <v>-1004.22</v>
      </c>
    </row>
    <row r="911" spans="1:8" x14ac:dyDescent="0.25">
      <c r="A911" s="1">
        <v>44955</v>
      </c>
      <c r="B911" t="s">
        <v>926</v>
      </c>
      <c r="C911" t="s">
        <v>25</v>
      </c>
      <c r="D911">
        <v>323.05</v>
      </c>
      <c r="E911" t="s">
        <v>7</v>
      </c>
      <c r="F911" s="2" t="str">
        <f t="shared" si="42"/>
        <v>Jan</v>
      </c>
      <c r="G911" s="2">
        <f t="shared" si="43"/>
        <v>2023</v>
      </c>
      <c r="H911" s="2">
        <f t="shared" si="44"/>
        <v>-323.05</v>
      </c>
    </row>
    <row r="912" spans="1:8" x14ac:dyDescent="0.25">
      <c r="A912" s="1">
        <v>44956</v>
      </c>
      <c r="B912" t="s">
        <v>927</v>
      </c>
      <c r="C912" t="s">
        <v>11</v>
      </c>
      <c r="D912">
        <v>464.52</v>
      </c>
      <c r="E912" t="s">
        <v>7</v>
      </c>
      <c r="F912" s="2" t="str">
        <f t="shared" si="42"/>
        <v>Jan</v>
      </c>
      <c r="G912" s="2">
        <f t="shared" si="43"/>
        <v>2023</v>
      </c>
      <c r="H912" s="2">
        <f t="shared" si="44"/>
        <v>-464.52</v>
      </c>
    </row>
    <row r="913" spans="1:8" x14ac:dyDescent="0.25">
      <c r="A913" s="1">
        <v>44957</v>
      </c>
      <c r="B913" t="s">
        <v>928</v>
      </c>
      <c r="C913" t="s">
        <v>6</v>
      </c>
      <c r="D913">
        <v>1718.79</v>
      </c>
      <c r="E913" t="s">
        <v>7</v>
      </c>
      <c r="F913" s="2" t="str">
        <f t="shared" si="42"/>
        <v>Jan</v>
      </c>
      <c r="G913" s="2">
        <f t="shared" si="43"/>
        <v>2023</v>
      </c>
      <c r="H913" s="2">
        <f t="shared" si="44"/>
        <v>-1718.79</v>
      </c>
    </row>
    <row r="914" spans="1:8" x14ac:dyDescent="0.25">
      <c r="A914" s="1">
        <v>44957</v>
      </c>
      <c r="B914" t="s">
        <v>929</v>
      </c>
      <c r="C914" t="s">
        <v>13</v>
      </c>
      <c r="D914">
        <v>4364</v>
      </c>
      <c r="E914" t="s">
        <v>14</v>
      </c>
      <c r="F914" s="2" t="str">
        <f t="shared" si="42"/>
        <v>Jan</v>
      </c>
      <c r="G914" s="2">
        <f t="shared" si="43"/>
        <v>2023</v>
      </c>
      <c r="H914" s="2">
        <f t="shared" si="44"/>
        <v>4364</v>
      </c>
    </row>
    <row r="915" spans="1:8" x14ac:dyDescent="0.25">
      <c r="A915" s="1">
        <v>44958</v>
      </c>
      <c r="B915" t="s">
        <v>930</v>
      </c>
      <c r="C915" t="s">
        <v>9</v>
      </c>
      <c r="D915">
        <v>366.13</v>
      </c>
      <c r="E915" t="s">
        <v>7</v>
      </c>
      <c r="F915" s="2" t="str">
        <f t="shared" si="42"/>
        <v>Feb</v>
      </c>
      <c r="G915" s="2">
        <f t="shared" si="43"/>
        <v>2023</v>
      </c>
      <c r="H915" s="2">
        <f t="shared" si="44"/>
        <v>-366.13</v>
      </c>
    </row>
    <row r="916" spans="1:8" x14ac:dyDescent="0.25">
      <c r="A916" s="1">
        <v>44959</v>
      </c>
      <c r="B916" t="s">
        <v>931</v>
      </c>
      <c r="C916" t="s">
        <v>6</v>
      </c>
      <c r="D916">
        <v>1110.2</v>
      </c>
      <c r="E916" t="s">
        <v>7</v>
      </c>
      <c r="F916" s="2" t="str">
        <f t="shared" si="42"/>
        <v>Feb</v>
      </c>
      <c r="G916" s="2">
        <f t="shared" si="43"/>
        <v>2023</v>
      </c>
      <c r="H916" s="2">
        <f t="shared" si="44"/>
        <v>-1110.2</v>
      </c>
    </row>
    <row r="917" spans="1:8" x14ac:dyDescent="0.25">
      <c r="A917" s="1">
        <v>44960</v>
      </c>
      <c r="B917" t="s">
        <v>932</v>
      </c>
      <c r="C917" t="s">
        <v>17</v>
      </c>
      <c r="D917">
        <v>456.79</v>
      </c>
      <c r="E917" t="s">
        <v>7</v>
      </c>
      <c r="F917" s="2" t="str">
        <f t="shared" si="42"/>
        <v>Feb</v>
      </c>
      <c r="G917" s="2">
        <f t="shared" si="43"/>
        <v>2023</v>
      </c>
      <c r="H917" s="2">
        <f t="shared" si="44"/>
        <v>-456.79</v>
      </c>
    </row>
    <row r="918" spans="1:8" x14ac:dyDescent="0.25">
      <c r="A918" s="1">
        <v>44963</v>
      </c>
      <c r="B918" t="s">
        <v>933</v>
      </c>
      <c r="C918" t="s">
        <v>25</v>
      </c>
      <c r="D918">
        <v>549.79999999999995</v>
      </c>
      <c r="E918" t="s">
        <v>7</v>
      </c>
      <c r="F918" s="2" t="str">
        <f t="shared" si="42"/>
        <v>Feb</v>
      </c>
      <c r="G918" s="2">
        <f t="shared" si="43"/>
        <v>2023</v>
      </c>
      <c r="H918" s="2">
        <f t="shared" si="44"/>
        <v>-549.79999999999995</v>
      </c>
    </row>
    <row r="919" spans="1:8" x14ac:dyDescent="0.25">
      <c r="A919" s="1">
        <v>44964</v>
      </c>
      <c r="B919" t="s">
        <v>934</v>
      </c>
      <c r="C919" t="s">
        <v>20</v>
      </c>
      <c r="D919">
        <v>1478</v>
      </c>
      <c r="E919" t="s">
        <v>14</v>
      </c>
      <c r="F919" s="2" t="str">
        <f t="shared" si="42"/>
        <v>Feb</v>
      </c>
      <c r="G919" s="2">
        <f t="shared" si="43"/>
        <v>2023</v>
      </c>
      <c r="H919" s="2">
        <f t="shared" si="44"/>
        <v>1478</v>
      </c>
    </row>
    <row r="920" spans="1:8" x14ac:dyDescent="0.25">
      <c r="A920" s="1">
        <v>44964</v>
      </c>
      <c r="B920" t="s">
        <v>935</v>
      </c>
      <c r="C920" t="s">
        <v>6</v>
      </c>
      <c r="D920">
        <v>366.9</v>
      </c>
      <c r="E920" t="s">
        <v>7</v>
      </c>
      <c r="F920" s="2" t="str">
        <f t="shared" si="42"/>
        <v>Feb</v>
      </c>
      <c r="G920" s="2">
        <f t="shared" si="43"/>
        <v>2023</v>
      </c>
      <c r="H920" s="2">
        <f t="shared" si="44"/>
        <v>-366.9</v>
      </c>
    </row>
    <row r="921" spans="1:8" x14ac:dyDescent="0.25">
      <c r="A921" s="1">
        <v>44965</v>
      </c>
      <c r="B921" t="s">
        <v>936</v>
      </c>
      <c r="C921" t="s">
        <v>6</v>
      </c>
      <c r="D921">
        <v>1908.62</v>
      </c>
      <c r="E921" t="s">
        <v>7</v>
      </c>
      <c r="F921" s="2" t="str">
        <f t="shared" si="42"/>
        <v>Feb</v>
      </c>
      <c r="G921" s="2">
        <f t="shared" si="43"/>
        <v>2023</v>
      </c>
      <c r="H921" s="2">
        <f t="shared" si="44"/>
        <v>-1908.62</v>
      </c>
    </row>
    <row r="922" spans="1:8" x14ac:dyDescent="0.25">
      <c r="A922" s="1">
        <v>44965</v>
      </c>
      <c r="B922" t="s">
        <v>937</v>
      </c>
      <c r="C922" t="s">
        <v>20</v>
      </c>
      <c r="D922">
        <v>2812</v>
      </c>
      <c r="E922" t="s">
        <v>14</v>
      </c>
      <c r="F922" s="2" t="str">
        <f t="shared" si="42"/>
        <v>Feb</v>
      </c>
      <c r="G922" s="2">
        <f t="shared" si="43"/>
        <v>2023</v>
      </c>
      <c r="H922" s="2">
        <f t="shared" si="44"/>
        <v>2812</v>
      </c>
    </row>
    <row r="923" spans="1:8" x14ac:dyDescent="0.25">
      <c r="A923" s="1">
        <v>44966</v>
      </c>
      <c r="B923" t="s">
        <v>938</v>
      </c>
      <c r="C923" t="s">
        <v>35</v>
      </c>
      <c r="D923">
        <v>661.33</v>
      </c>
      <c r="E923" t="s">
        <v>7</v>
      </c>
      <c r="F923" s="2" t="str">
        <f t="shared" si="42"/>
        <v>Feb</v>
      </c>
      <c r="G923" s="2">
        <f t="shared" si="43"/>
        <v>2023</v>
      </c>
      <c r="H923" s="2">
        <f t="shared" si="44"/>
        <v>-661.33</v>
      </c>
    </row>
    <row r="924" spans="1:8" x14ac:dyDescent="0.25">
      <c r="A924" s="1">
        <v>44969</v>
      </c>
      <c r="B924" t="s">
        <v>939</v>
      </c>
      <c r="C924" t="s">
        <v>6</v>
      </c>
      <c r="D924">
        <v>744.15</v>
      </c>
      <c r="E924" t="s">
        <v>7</v>
      </c>
      <c r="F924" s="2" t="str">
        <f t="shared" si="42"/>
        <v>Feb</v>
      </c>
      <c r="G924" s="2">
        <f t="shared" si="43"/>
        <v>2023</v>
      </c>
      <c r="H924" s="2">
        <f t="shared" si="44"/>
        <v>-744.15</v>
      </c>
    </row>
    <row r="925" spans="1:8" x14ac:dyDescent="0.25">
      <c r="A925" s="1">
        <v>44970</v>
      </c>
      <c r="B925" t="s">
        <v>940</v>
      </c>
      <c r="C925" t="s">
        <v>35</v>
      </c>
      <c r="D925">
        <v>1481.76</v>
      </c>
      <c r="E925" t="s">
        <v>7</v>
      </c>
      <c r="F925" s="2" t="str">
        <f t="shared" si="42"/>
        <v>Feb</v>
      </c>
      <c r="G925" s="2">
        <f t="shared" si="43"/>
        <v>2023</v>
      </c>
      <c r="H925" s="2">
        <f t="shared" si="44"/>
        <v>-1481.76</v>
      </c>
    </row>
    <row r="926" spans="1:8" x14ac:dyDescent="0.25">
      <c r="A926" s="1">
        <v>44972</v>
      </c>
      <c r="B926" t="s">
        <v>941</v>
      </c>
      <c r="C926" t="s">
        <v>25</v>
      </c>
      <c r="D926">
        <v>1187.46</v>
      </c>
      <c r="E926" t="s">
        <v>7</v>
      </c>
      <c r="F926" s="2" t="str">
        <f t="shared" si="42"/>
        <v>Feb</v>
      </c>
      <c r="G926" s="2">
        <f t="shared" si="43"/>
        <v>2023</v>
      </c>
      <c r="H926" s="2">
        <f t="shared" si="44"/>
        <v>-1187.46</v>
      </c>
    </row>
    <row r="927" spans="1:8" x14ac:dyDescent="0.25">
      <c r="A927" s="1">
        <v>44973</v>
      </c>
      <c r="B927" t="s">
        <v>942</v>
      </c>
      <c r="C927" t="s">
        <v>22</v>
      </c>
      <c r="D927">
        <v>1467.6</v>
      </c>
      <c r="E927" t="s">
        <v>7</v>
      </c>
      <c r="F927" s="2" t="str">
        <f t="shared" si="42"/>
        <v>Feb</v>
      </c>
      <c r="G927" s="2">
        <f t="shared" si="43"/>
        <v>2023</v>
      </c>
      <c r="H927" s="2">
        <f t="shared" si="44"/>
        <v>-1467.6</v>
      </c>
    </row>
    <row r="928" spans="1:8" x14ac:dyDescent="0.25">
      <c r="A928" s="1">
        <v>44975</v>
      </c>
      <c r="B928" t="s">
        <v>943</v>
      </c>
      <c r="C928" t="s">
        <v>22</v>
      </c>
      <c r="D928">
        <v>309.63</v>
      </c>
      <c r="E928" t="s">
        <v>7</v>
      </c>
      <c r="F928" s="2" t="str">
        <f t="shared" si="42"/>
        <v>Feb</v>
      </c>
      <c r="G928" s="2">
        <f t="shared" si="43"/>
        <v>2023</v>
      </c>
      <c r="H928" s="2">
        <f t="shared" si="44"/>
        <v>-309.63</v>
      </c>
    </row>
    <row r="929" spans="1:8" x14ac:dyDescent="0.25">
      <c r="A929" s="1">
        <v>44977</v>
      </c>
      <c r="B929" t="s">
        <v>944</v>
      </c>
      <c r="C929" t="s">
        <v>6</v>
      </c>
      <c r="D929">
        <v>473.67</v>
      </c>
      <c r="E929" t="s">
        <v>7</v>
      </c>
      <c r="F929" s="2" t="str">
        <f t="shared" si="42"/>
        <v>Feb</v>
      </c>
      <c r="G929" s="2">
        <f t="shared" si="43"/>
        <v>2023</v>
      </c>
      <c r="H929" s="2">
        <f t="shared" si="44"/>
        <v>-473.67</v>
      </c>
    </row>
    <row r="930" spans="1:8" x14ac:dyDescent="0.25">
      <c r="A930" s="1">
        <v>44977</v>
      </c>
      <c r="B930" t="s">
        <v>945</v>
      </c>
      <c r="C930" t="s">
        <v>6</v>
      </c>
      <c r="D930">
        <v>1902.47</v>
      </c>
      <c r="E930" t="s">
        <v>7</v>
      </c>
      <c r="F930" s="2" t="str">
        <f t="shared" si="42"/>
        <v>Feb</v>
      </c>
      <c r="G930" s="2">
        <f t="shared" si="43"/>
        <v>2023</v>
      </c>
      <c r="H930" s="2">
        <f t="shared" si="44"/>
        <v>-1902.47</v>
      </c>
    </row>
    <row r="931" spans="1:8" x14ac:dyDescent="0.25">
      <c r="A931" s="1">
        <v>44979</v>
      </c>
      <c r="B931" t="s">
        <v>946</v>
      </c>
      <c r="C931" t="s">
        <v>20</v>
      </c>
      <c r="D931">
        <v>3019</v>
      </c>
      <c r="E931" t="s">
        <v>14</v>
      </c>
      <c r="F931" s="2" t="str">
        <f t="shared" si="42"/>
        <v>Feb</v>
      </c>
      <c r="G931" s="2">
        <f t="shared" si="43"/>
        <v>2023</v>
      </c>
      <c r="H931" s="2">
        <f t="shared" si="44"/>
        <v>3019</v>
      </c>
    </row>
    <row r="932" spans="1:8" x14ac:dyDescent="0.25">
      <c r="A932" s="1">
        <v>44979</v>
      </c>
      <c r="B932" t="s">
        <v>947</v>
      </c>
      <c r="C932" t="s">
        <v>13</v>
      </c>
      <c r="D932">
        <v>3939</v>
      </c>
      <c r="E932" t="s">
        <v>14</v>
      </c>
      <c r="F932" s="2" t="str">
        <f t="shared" si="42"/>
        <v>Feb</v>
      </c>
      <c r="G932" s="2">
        <f t="shared" si="43"/>
        <v>2023</v>
      </c>
      <c r="H932" s="2">
        <f t="shared" si="44"/>
        <v>3939</v>
      </c>
    </row>
    <row r="933" spans="1:8" x14ac:dyDescent="0.25">
      <c r="A933" s="1">
        <v>44981</v>
      </c>
      <c r="B933" t="s">
        <v>948</v>
      </c>
      <c r="C933" t="s">
        <v>6</v>
      </c>
      <c r="D933">
        <v>1945.39</v>
      </c>
      <c r="E933" t="s">
        <v>7</v>
      </c>
      <c r="F933" s="2" t="str">
        <f t="shared" si="42"/>
        <v>Feb</v>
      </c>
      <c r="G933" s="2">
        <f t="shared" si="43"/>
        <v>2023</v>
      </c>
      <c r="H933" s="2">
        <f t="shared" si="44"/>
        <v>-1945.39</v>
      </c>
    </row>
    <row r="934" spans="1:8" x14ac:dyDescent="0.25">
      <c r="A934" s="1">
        <v>44983</v>
      </c>
      <c r="B934" t="s">
        <v>949</v>
      </c>
      <c r="C934" t="s">
        <v>20</v>
      </c>
      <c r="D934">
        <v>1262</v>
      </c>
      <c r="E934" t="s">
        <v>14</v>
      </c>
      <c r="F934" s="2" t="str">
        <f t="shared" si="42"/>
        <v>Feb</v>
      </c>
      <c r="G934" s="2">
        <f t="shared" si="43"/>
        <v>2023</v>
      </c>
      <c r="H934" s="2">
        <f t="shared" si="44"/>
        <v>1262</v>
      </c>
    </row>
    <row r="935" spans="1:8" x14ac:dyDescent="0.25">
      <c r="A935" s="1">
        <v>44983</v>
      </c>
      <c r="B935" t="s">
        <v>950</v>
      </c>
      <c r="C935" t="s">
        <v>13</v>
      </c>
      <c r="D935">
        <v>4757</v>
      </c>
      <c r="E935" t="s">
        <v>14</v>
      </c>
      <c r="F935" s="2" t="str">
        <f t="shared" si="42"/>
        <v>Feb</v>
      </c>
      <c r="G935" s="2">
        <f t="shared" si="43"/>
        <v>2023</v>
      </c>
      <c r="H935" s="2">
        <f t="shared" si="44"/>
        <v>4757</v>
      </c>
    </row>
    <row r="936" spans="1:8" x14ac:dyDescent="0.25">
      <c r="A936" s="1">
        <v>44983</v>
      </c>
      <c r="B936" t="s">
        <v>951</v>
      </c>
      <c r="C936" t="s">
        <v>25</v>
      </c>
      <c r="D936">
        <v>922.33</v>
      </c>
      <c r="E936" t="s">
        <v>7</v>
      </c>
      <c r="F936" s="2" t="str">
        <f t="shared" si="42"/>
        <v>Feb</v>
      </c>
      <c r="G936" s="2">
        <f t="shared" si="43"/>
        <v>2023</v>
      </c>
      <c r="H936" s="2">
        <f t="shared" si="44"/>
        <v>-922.33</v>
      </c>
    </row>
    <row r="937" spans="1:8" x14ac:dyDescent="0.25">
      <c r="A937" s="1">
        <v>44985</v>
      </c>
      <c r="B937" t="s">
        <v>952</v>
      </c>
      <c r="C937" t="s">
        <v>11</v>
      </c>
      <c r="D937">
        <v>1015.8</v>
      </c>
      <c r="E937" t="s">
        <v>7</v>
      </c>
      <c r="F937" s="2" t="str">
        <f t="shared" si="42"/>
        <v>Feb</v>
      </c>
      <c r="G937" s="2">
        <f t="shared" si="43"/>
        <v>2023</v>
      </c>
      <c r="H937" s="2">
        <f t="shared" si="44"/>
        <v>-1015.8</v>
      </c>
    </row>
    <row r="938" spans="1:8" x14ac:dyDescent="0.25">
      <c r="A938" s="1">
        <v>44988</v>
      </c>
      <c r="B938" t="s">
        <v>953</v>
      </c>
      <c r="C938" t="s">
        <v>17</v>
      </c>
      <c r="D938">
        <v>158.91</v>
      </c>
      <c r="E938" t="s">
        <v>7</v>
      </c>
      <c r="F938" s="2" t="str">
        <f t="shared" si="42"/>
        <v>Mar</v>
      </c>
      <c r="G938" s="2">
        <f t="shared" si="43"/>
        <v>2023</v>
      </c>
      <c r="H938" s="2">
        <f t="shared" si="44"/>
        <v>-158.91</v>
      </c>
    </row>
    <row r="939" spans="1:8" x14ac:dyDescent="0.25">
      <c r="A939" s="1">
        <v>44988</v>
      </c>
      <c r="B939" t="s">
        <v>954</v>
      </c>
      <c r="C939" t="s">
        <v>17</v>
      </c>
      <c r="D939">
        <v>1328.26</v>
      </c>
      <c r="E939" t="s">
        <v>7</v>
      </c>
      <c r="F939" s="2" t="str">
        <f t="shared" si="42"/>
        <v>Mar</v>
      </c>
      <c r="G939" s="2">
        <f t="shared" si="43"/>
        <v>2023</v>
      </c>
      <c r="H939" s="2">
        <f t="shared" si="44"/>
        <v>-1328.26</v>
      </c>
    </row>
    <row r="940" spans="1:8" x14ac:dyDescent="0.25">
      <c r="A940" s="1">
        <v>44990</v>
      </c>
      <c r="B940" t="s">
        <v>955</v>
      </c>
      <c r="C940" t="s">
        <v>20</v>
      </c>
      <c r="D940">
        <v>2638</v>
      </c>
      <c r="E940" t="s">
        <v>14</v>
      </c>
      <c r="F940" s="2" t="str">
        <f t="shared" si="42"/>
        <v>Mar</v>
      </c>
      <c r="G940" s="2">
        <f t="shared" si="43"/>
        <v>2023</v>
      </c>
      <c r="H940" s="2">
        <f t="shared" si="44"/>
        <v>2638</v>
      </c>
    </row>
    <row r="941" spans="1:8" x14ac:dyDescent="0.25">
      <c r="A941" s="1">
        <v>44990</v>
      </c>
      <c r="B941" t="s">
        <v>956</v>
      </c>
      <c r="C941" t="s">
        <v>17</v>
      </c>
      <c r="D941">
        <v>1404.44</v>
      </c>
      <c r="E941" t="s">
        <v>7</v>
      </c>
      <c r="F941" s="2" t="str">
        <f t="shared" si="42"/>
        <v>Mar</v>
      </c>
      <c r="G941" s="2">
        <f t="shared" si="43"/>
        <v>2023</v>
      </c>
      <c r="H941" s="2">
        <f t="shared" si="44"/>
        <v>-1404.44</v>
      </c>
    </row>
    <row r="942" spans="1:8" x14ac:dyDescent="0.25">
      <c r="A942" s="1">
        <v>44990</v>
      </c>
      <c r="B942" t="s">
        <v>957</v>
      </c>
      <c r="C942" t="s">
        <v>25</v>
      </c>
      <c r="D942">
        <v>910.99</v>
      </c>
      <c r="E942" t="s">
        <v>7</v>
      </c>
      <c r="F942" s="2" t="str">
        <f t="shared" si="42"/>
        <v>Mar</v>
      </c>
      <c r="G942" s="2">
        <f t="shared" si="43"/>
        <v>2023</v>
      </c>
      <c r="H942" s="2">
        <f t="shared" si="44"/>
        <v>-910.99</v>
      </c>
    </row>
    <row r="943" spans="1:8" x14ac:dyDescent="0.25">
      <c r="A943" s="1">
        <v>44992</v>
      </c>
      <c r="B943" t="s">
        <v>958</v>
      </c>
      <c r="C943" t="s">
        <v>22</v>
      </c>
      <c r="D943">
        <v>280.86</v>
      </c>
      <c r="E943" t="s">
        <v>7</v>
      </c>
      <c r="F943" s="2" t="str">
        <f t="shared" si="42"/>
        <v>Mar</v>
      </c>
      <c r="G943" s="2">
        <f t="shared" si="43"/>
        <v>2023</v>
      </c>
      <c r="H943" s="2">
        <f t="shared" si="44"/>
        <v>-280.86</v>
      </c>
    </row>
    <row r="944" spans="1:8" x14ac:dyDescent="0.25">
      <c r="A944" s="1">
        <v>44993</v>
      </c>
      <c r="B944" t="s">
        <v>959</v>
      </c>
      <c r="C944" t="s">
        <v>11</v>
      </c>
      <c r="D944">
        <v>319.27</v>
      </c>
      <c r="E944" t="s">
        <v>7</v>
      </c>
      <c r="F944" s="2" t="str">
        <f t="shared" si="42"/>
        <v>Mar</v>
      </c>
      <c r="G944" s="2">
        <f t="shared" si="43"/>
        <v>2023</v>
      </c>
      <c r="H944" s="2">
        <f t="shared" si="44"/>
        <v>-319.27</v>
      </c>
    </row>
    <row r="945" spans="1:8" x14ac:dyDescent="0.25">
      <c r="A945" s="1">
        <v>44993</v>
      </c>
      <c r="B945" t="s">
        <v>960</v>
      </c>
      <c r="C945" t="s">
        <v>20</v>
      </c>
      <c r="D945">
        <v>3072</v>
      </c>
      <c r="E945" t="s">
        <v>14</v>
      </c>
      <c r="F945" s="2" t="str">
        <f t="shared" si="42"/>
        <v>Mar</v>
      </c>
      <c r="G945" s="2">
        <f t="shared" si="43"/>
        <v>2023</v>
      </c>
      <c r="H945" s="2">
        <f t="shared" si="44"/>
        <v>3072</v>
      </c>
    </row>
    <row r="946" spans="1:8" x14ac:dyDescent="0.25">
      <c r="A946" s="1">
        <v>44993</v>
      </c>
      <c r="B946" t="s">
        <v>961</v>
      </c>
      <c r="C946" t="s">
        <v>25</v>
      </c>
      <c r="D946">
        <v>1929.62</v>
      </c>
      <c r="E946" t="s">
        <v>7</v>
      </c>
      <c r="F946" s="2" t="str">
        <f t="shared" si="42"/>
        <v>Mar</v>
      </c>
      <c r="G946" s="2">
        <f t="shared" si="43"/>
        <v>2023</v>
      </c>
      <c r="H946" s="2">
        <f t="shared" si="44"/>
        <v>-1929.62</v>
      </c>
    </row>
    <row r="947" spans="1:8" x14ac:dyDescent="0.25">
      <c r="A947" s="1">
        <v>44993</v>
      </c>
      <c r="B947" t="s">
        <v>962</v>
      </c>
      <c r="C947" t="s">
        <v>35</v>
      </c>
      <c r="D947">
        <v>932.06</v>
      </c>
      <c r="E947" t="s">
        <v>7</v>
      </c>
      <c r="F947" s="2" t="str">
        <f t="shared" si="42"/>
        <v>Mar</v>
      </c>
      <c r="G947" s="2">
        <f t="shared" si="43"/>
        <v>2023</v>
      </c>
      <c r="H947" s="2">
        <f t="shared" si="44"/>
        <v>-932.06</v>
      </c>
    </row>
    <row r="948" spans="1:8" x14ac:dyDescent="0.25">
      <c r="A948" s="1">
        <v>44995</v>
      </c>
      <c r="B948" t="s">
        <v>963</v>
      </c>
      <c r="C948" t="s">
        <v>11</v>
      </c>
      <c r="D948">
        <v>323.64999999999998</v>
      </c>
      <c r="E948" t="s">
        <v>7</v>
      </c>
      <c r="F948" s="2" t="str">
        <f t="shared" si="42"/>
        <v>Mar</v>
      </c>
      <c r="G948" s="2">
        <f t="shared" si="43"/>
        <v>2023</v>
      </c>
      <c r="H948" s="2">
        <f t="shared" si="44"/>
        <v>-323.64999999999998</v>
      </c>
    </row>
    <row r="949" spans="1:8" x14ac:dyDescent="0.25">
      <c r="A949" s="1">
        <v>44995</v>
      </c>
      <c r="B949" t="s">
        <v>964</v>
      </c>
      <c r="C949" t="s">
        <v>6</v>
      </c>
      <c r="D949">
        <v>437.89</v>
      </c>
      <c r="E949" t="s">
        <v>7</v>
      </c>
      <c r="F949" s="2" t="str">
        <f t="shared" si="42"/>
        <v>Mar</v>
      </c>
      <c r="G949" s="2">
        <f t="shared" si="43"/>
        <v>2023</v>
      </c>
      <c r="H949" s="2">
        <f t="shared" si="44"/>
        <v>-437.89</v>
      </c>
    </row>
    <row r="950" spans="1:8" x14ac:dyDescent="0.25">
      <c r="A950" s="1">
        <v>44997</v>
      </c>
      <c r="B950" t="s">
        <v>965</v>
      </c>
      <c r="C950" t="s">
        <v>9</v>
      </c>
      <c r="D950">
        <v>191.51</v>
      </c>
      <c r="E950" t="s">
        <v>7</v>
      </c>
      <c r="F950" s="2" t="str">
        <f t="shared" si="42"/>
        <v>Mar</v>
      </c>
      <c r="G950" s="2">
        <f t="shared" si="43"/>
        <v>2023</v>
      </c>
      <c r="H950" s="2">
        <f t="shared" si="44"/>
        <v>-191.51</v>
      </c>
    </row>
    <row r="951" spans="1:8" x14ac:dyDescent="0.25">
      <c r="A951" s="1">
        <v>44998</v>
      </c>
      <c r="B951" t="s">
        <v>966</v>
      </c>
      <c r="C951" t="s">
        <v>25</v>
      </c>
      <c r="D951">
        <v>798.53</v>
      </c>
      <c r="E951" t="s">
        <v>7</v>
      </c>
      <c r="F951" s="2" t="str">
        <f t="shared" si="42"/>
        <v>Mar</v>
      </c>
      <c r="G951" s="2">
        <f t="shared" si="43"/>
        <v>2023</v>
      </c>
      <c r="H951" s="2">
        <f t="shared" si="44"/>
        <v>-798.53</v>
      </c>
    </row>
    <row r="952" spans="1:8" x14ac:dyDescent="0.25">
      <c r="A952" s="1">
        <v>44998</v>
      </c>
      <c r="B952" t="s">
        <v>967</v>
      </c>
      <c r="C952" t="s">
        <v>20</v>
      </c>
      <c r="D952">
        <v>2631</v>
      </c>
      <c r="E952" t="s">
        <v>14</v>
      </c>
      <c r="F952" s="2" t="str">
        <f t="shared" si="42"/>
        <v>Mar</v>
      </c>
      <c r="G952" s="2">
        <f t="shared" si="43"/>
        <v>2023</v>
      </c>
      <c r="H952" s="2">
        <f t="shared" si="44"/>
        <v>2631</v>
      </c>
    </row>
    <row r="953" spans="1:8" x14ac:dyDescent="0.25">
      <c r="A953" s="1">
        <v>44998</v>
      </c>
      <c r="B953" t="s">
        <v>968</v>
      </c>
      <c r="C953" t="s">
        <v>9</v>
      </c>
      <c r="D953">
        <v>71.849999999999994</v>
      </c>
      <c r="E953" t="s">
        <v>7</v>
      </c>
      <c r="F953" s="2" t="str">
        <f t="shared" si="42"/>
        <v>Mar</v>
      </c>
      <c r="G953" s="2">
        <f t="shared" si="43"/>
        <v>2023</v>
      </c>
      <c r="H953" s="2">
        <f t="shared" si="44"/>
        <v>-71.849999999999994</v>
      </c>
    </row>
    <row r="954" spans="1:8" x14ac:dyDescent="0.25">
      <c r="A954" s="1">
        <v>45000</v>
      </c>
      <c r="B954" t="s">
        <v>969</v>
      </c>
      <c r="C954" t="s">
        <v>27</v>
      </c>
      <c r="D954">
        <v>1116.3499999999999</v>
      </c>
      <c r="E954" t="s">
        <v>7</v>
      </c>
      <c r="F954" s="2" t="str">
        <f t="shared" si="42"/>
        <v>Mar</v>
      </c>
      <c r="G954" s="2">
        <f t="shared" si="43"/>
        <v>2023</v>
      </c>
      <c r="H954" s="2">
        <f t="shared" si="44"/>
        <v>-1116.3499999999999</v>
      </c>
    </row>
    <row r="955" spans="1:8" x14ac:dyDescent="0.25">
      <c r="A955" s="1">
        <v>45000</v>
      </c>
      <c r="B955" t="s">
        <v>970</v>
      </c>
      <c r="C955" t="s">
        <v>11</v>
      </c>
      <c r="D955">
        <v>929.47</v>
      </c>
      <c r="E955" t="s">
        <v>7</v>
      </c>
      <c r="F955" s="2" t="str">
        <f t="shared" si="42"/>
        <v>Mar</v>
      </c>
      <c r="G955" s="2">
        <f t="shared" si="43"/>
        <v>2023</v>
      </c>
      <c r="H955" s="2">
        <f t="shared" si="44"/>
        <v>-929.47</v>
      </c>
    </row>
    <row r="956" spans="1:8" x14ac:dyDescent="0.25">
      <c r="A956" s="1">
        <v>45001</v>
      </c>
      <c r="B956" t="s">
        <v>971</v>
      </c>
      <c r="C956" t="s">
        <v>9</v>
      </c>
      <c r="D956">
        <v>251.69</v>
      </c>
      <c r="E956" t="s">
        <v>7</v>
      </c>
      <c r="F956" s="2" t="str">
        <f t="shared" si="42"/>
        <v>Mar</v>
      </c>
      <c r="G956" s="2">
        <f t="shared" si="43"/>
        <v>2023</v>
      </c>
      <c r="H956" s="2">
        <f t="shared" si="44"/>
        <v>-251.69</v>
      </c>
    </row>
    <row r="957" spans="1:8" x14ac:dyDescent="0.25">
      <c r="A957" s="1">
        <v>45001</v>
      </c>
      <c r="B957" t="s">
        <v>972</v>
      </c>
      <c r="C957" t="s">
        <v>13</v>
      </c>
      <c r="D957">
        <v>1570</v>
      </c>
      <c r="E957" t="s">
        <v>14</v>
      </c>
      <c r="F957" s="2" t="str">
        <f t="shared" si="42"/>
        <v>Mar</v>
      </c>
      <c r="G957" s="2">
        <f t="shared" si="43"/>
        <v>2023</v>
      </c>
      <c r="H957" s="2">
        <f t="shared" si="44"/>
        <v>1570</v>
      </c>
    </row>
    <row r="958" spans="1:8" x14ac:dyDescent="0.25">
      <c r="A958" s="1">
        <v>45003</v>
      </c>
      <c r="B958" t="s">
        <v>973</v>
      </c>
      <c r="C958" t="s">
        <v>20</v>
      </c>
      <c r="D958">
        <v>3549</v>
      </c>
      <c r="E958" t="s">
        <v>14</v>
      </c>
      <c r="F958" s="2" t="str">
        <f t="shared" si="42"/>
        <v>Mar</v>
      </c>
      <c r="G958" s="2">
        <f t="shared" si="43"/>
        <v>2023</v>
      </c>
      <c r="H958" s="2">
        <f t="shared" si="44"/>
        <v>3549</v>
      </c>
    </row>
    <row r="959" spans="1:8" x14ac:dyDescent="0.25">
      <c r="A959" s="1">
        <v>45003</v>
      </c>
      <c r="B959" t="s">
        <v>974</v>
      </c>
      <c r="C959" t="s">
        <v>11</v>
      </c>
      <c r="D959">
        <v>1168.82</v>
      </c>
      <c r="E959" t="s">
        <v>7</v>
      </c>
      <c r="F959" s="2" t="str">
        <f t="shared" si="42"/>
        <v>Mar</v>
      </c>
      <c r="G959" s="2">
        <f t="shared" si="43"/>
        <v>2023</v>
      </c>
      <c r="H959" s="2">
        <f t="shared" si="44"/>
        <v>-1168.82</v>
      </c>
    </row>
    <row r="960" spans="1:8" x14ac:dyDescent="0.25">
      <c r="A960" s="1">
        <v>45006</v>
      </c>
      <c r="B960" t="s">
        <v>975</v>
      </c>
      <c r="C960" t="s">
        <v>11</v>
      </c>
      <c r="D960">
        <v>53.38</v>
      </c>
      <c r="E960" t="s">
        <v>7</v>
      </c>
      <c r="F960" s="2" t="str">
        <f t="shared" si="42"/>
        <v>Mar</v>
      </c>
      <c r="G960" s="2">
        <f t="shared" si="43"/>
        <v>2023</v>
      </c>
      <c r="H960" s="2">
        <f t="shared" si="44"/>
        <v>-53.38</v>
      </c>
    </row>
    <row r="961" spans="1:8" x14ac:dyDescent="0.25">
      <c r="A961" s="1">
        <v>45007</v>
      </c>
      <c r="B961" t="s">
        <v>976</v>
      </c>
      <c r="C961" t="s">
        <v>20</v>
      </c>
      <c r="D961">
        <v>1555</v>
      </c>
      <c r="E961" t="s">
        <v>14</v>
      </c>
      <c r="F961" s="2" t="str">
        <f t="shared" si="42"/>
        <v>Mar</v>
      </c>
      <c r="G961" s="2">
        <f t="shared" si="43"/>
        <v>2023</v>
      </c>
      <c r="H961" s="2">
        <f t="shared" si="44"/>
        <v>1555</v>
      </c>
    </row>
    <row r="962" spans="1:8" x14ac:dyDescent="0.25">
      <c r="A962" s="1">
        <v>45008</v>
      </c>
      <c r="B962" t="s">
        <v>977</v>
      </c>
      <c r="C962" t="s">
        <v>20</v>
      </c>
      <c r="D962">
        <v>1503</v>
      </c>
      <c r="E962" t="s">
        <v>14</v>
      </c>
      <c r="F962" s="2" t="str">
        <f t="shared" ref="F962:F1025" si="45">TEXT(A962,"mmm")</f>
        <v>Mar</v>
      </c>
      <c r="G962" s="2">
        <f t="shared" ref="G962:G1025" si="46">YEAR(A962)</f>
        <v>2023</v>
      </c>
      <c r="H962" s="2">
        <f t="shared" ref="H962:H1025" si="47">IF(E962="Income",D962,-D962)</f>
        <v>1503</v>
      </c>
    </row>
    <row r="963" spans="1:8" x14ac:dyDescent="0.25">
      <c r="A963" s="1">
        <v>45008</v>
      </c>
      <c r="B963" t="s">
        <v>978</v>
      </c>
      <c r="C963" t="s">
        <v>20</v>
      </c>
      <c r="D963">
        <v>914</v>
      </c>
      <c r="E963" t="s">
        <v>14</v>
      </c>
      <c r="F963" s="2" t="str">
        <f t="shared" si="45"/>
        <v>Mar</v>
      </c>
      <c r="G963" s="2">
        <f t="shared" si="46"/>
        <v>2023</v>
      </c>
      <c r="H963" s="2">
        <f t="shared" si="47"/>
        <v>914</v>
      </c>
    </row>
    <row r="964" spans="1:8" x14ac:dyDescent="0.25">
      <c r="A964" s="1">
        <v>45008</v>
      </c>
      <c r="B964" t="s">
        <v>979</v>
      </c>
      <c r="C964" t="s">
        <v>20</v>
      </c>
      <c r="D964">
        <v>3735</v>
      </c>
      <c r="E964" t="s">
        <v>14</v>
      </c>
      <c r="F964" s="2" t="str">
        <f t="shared" si="45"/>
        <v>Mar</v>
      </c>
      <c r="G964" s="2">
        <f t="shared" si="46"/>
        <v>2023</v>
      </c>
      <c r="H964" s="2">
        <f t="shared" si="47"/>
        <v>3735</v>
      </c>
    </row>
    <row r="965" spans="1:8" x14ac:dyDescent="0.25">
      <c r="A965" s="1">
        <v>45009</v>
      </c>
      <c r="B965" t="s">
        <v>980</v>
      </c>
      <c r="C965" t="s">
        <v>17</v>
      </c>
      <c r="D965">
        <v>1369.59</v>
      </c>
      <c r="E965" t="s">
        <v>7</v>
      </c>
      <c r="F965" s="2" t="str">
        <f t="shared" si="45"/>
        <v>Mar</v>
      </c>
      <c r="G965" s="2">
        <f t="shared" si="46"/>
        <v>2023</v>
      </c>
      <c r="H965" s="2">
        <f t="shared" si="47"/>
        <v>-1369.59</v>
      </c>
    </row>
    <row r="966" spans="1:8" x14ac:dyDescent="0.25">
      <c r="A966" s="1">
        <v>45012</v>
      </c>
      <c r="B966" t="s">
        <v>981</v>
      </c>
      <c r="C966" t="s">
        <v>13</v>
      </c>
      <c r="D966">
        <v>2033</v>
      </c>
      <c r="E966" t="s">
        <v>14</v>
      </c>
      <c r="F966" s="2" t="str">
        <f t="shared" si="45"/>
        <v>Mar</v>
      </c>
      <c r="G966" s="2">
        <f t="shared" si="46"/>
        <v>2023</v>
      </c>
      <c r="H966" s="2">
        <f t="shared" si="47"/>
        <v>2033</v>
      </c>
    </row>
    <row r="967" spans="1:8" x14ac:dyDescent="0.25">
      <c r="A967" s="1">
        <v>45014</v>
      </c>
      <c r="B967" t="s">
        <v>982</v>
      </c>
      <c r="C967" t="s">
        <v>27</v>
      </c>
      <c r="D967">
        <v>1768.01</v>
      </c>
      <c r="E967" t="s">
        <v>7</v>
      </c>
      <c r="F967" s="2" t="str">
        <f t="shared" si="45"/>
        <v>Mar</v>
      </c>
      <c r="G967" s="2">
        <f t="shared" si="46"/>
        <v>2023</v>
      </c>
      <c r="H967" s="2">
        <f t="shared" si="47"/>
        <v>-1768.01</v>
      </c>
    </row>
    <row r="968" spans="1:8" x14ac:dyDescent="0.25">
      <c r="A968" s="1">
        <v>45015</v>
      </c>
      <c r="B968" t="s">
        <v>983</v>
      </c>
      <c r="C968" t="s">
        <v>13</v>
      </c>
      <c r="D968">
        <v>2917</v>
      </c>
      <c r="E968" t="s">
        <v>14</v>
      </c>
      <c r="F968" s="2" t="str">
        <f t="shared" si="45"/>
        <v>Mar</v>
      </c>
      <c r="G968" s="2">
        <f t="shared" si="46"/>
        <v>2023</v>
      </c>
      <c r="H968" s="2">
        <f t="shared" si="47"/>
        <v>2917</v>
      </c>
    </row>
    <row r="969" spans="1:8" x14ac:dyDescent="0.25">
      <c r="A969" s="1">
        <v>45016</v>
      </c>
      <c r="B969" t="s">
        <v>984</v>
      </c>
      <c r="C969" t="s">
        <v>27</v>
      </c>
      <c r="D969">
        <v>131.35</v>
      </c>
      <c r="E969" t="s">
        <v>7</v>
      </c>
      <c r="F969" s="2" t="str">
        <f t="shared" si="45"/>
        <v>Mar</v>
      </c>
      <c r="G969" s="2">
        <f t="shared" si="46"/>
        <v>2023</v>
      </c>
      <c r="H969" s="2">
        <f t="shared" si="47"/>
        <v>-131.35</v>
      </c>
    </row>
    <row r="970" spans="1:8" x14ac:dyDescent="0.25">
      <c r="A970" s="1">
        <v>45016</v>
      </c>
      <c r="B970" t="s">
        <v>985</v>
      </c>
      <c r="C970" t="s">
        <v>9</v>
      </c>
      <c r="D970">
        <v>844.28</v>
      </c>
      <c r="E970" t="s">
        <v>7</v>
      </c>
      <c r="F970" s="2" t="str">
        <f t="shared" si="45"/>
        <v>Mar</v>
      </c>
      <c r="G970" s="2">
        <f t="shared" si="46"/>
        <v>2023</v>
      </c>
      <c r="H970" s="2">
        <f t="shared" si="47"/>
        <v>-844.28</v>
      </c>
    </row>
    <row r="971" spans="1:8" x14ac:dyDescent="0.25">
      <c r="A971" s="1">
        <v>45017</v>
      </c>
      <c r="B971" t="s">
        <v>986</v>
      </c>
      <c r="C971" t="s">
        <v>22</v>
      </c>
      <c r="D971">
        <v>1265.2</v>
      </c>
      <c r="E971" t="s">
        <v>7</v>
      </c>
      <c r="F971" s="2" t="str">
        <f t="shared" si="45"/>
        <v>Apr</v>
      </c>
      <c r="G971" s="2">
        <f t="shared" si="46"/>
        <v>2023</v>
      </c>
      <c r="H971" s="2">
        <f t="shared" si="47"/>
        <v>-1265.2</v>
      </c>
    </row>
    <row r="972" spans="1:8" x14ac:dyDescent="0.25">
      <c r="A972" s="1">
        <v>45017</v>
      </c>
      <c r="B972" t="s">
        <v>987</v>
      </c>
      <c r="C972" t="s">
        <v>6</v>
      </c>
      <c r="D972">
        <v>1978.91</v>
      </c>
      <c r="E972" t="s">
        <v>7</v>
      </c>
      <c r="F972" s="2" t="str">
        <f t="shared" si="45"/>
        <v>Apr</v>
      </c>
      <c r="G972" s="2">
        <f t="shared" si="46"/>
        <v>2023</v>
      </c>
      <c r="H972" s="2">
        <f t="shared" si="47"/>
        <v>-1978.91</v>
      </c>
    </row>
    <row r="973" spans="1:8" x14ac:dyDescent="0.25">
      <c r="A973" s="1">
        <v>45020</v>
      </c>
      <c r="B973" t="s">
        <v>988</v>
      </c>
      <c r="C973" t="s">
        <v>25</v>
      </c>
      <c r="D973">
        <v>964.57</v>
      </c>
      <c r="E973" t="s">
        <v>7</v>
      </c>
      <c r="F973" s="2" t="str">
        <f t="shared" si="45"/>
        <v>Apr</v>
      </c>
      <c r="G973" s="2">
        <f t="shared" si="46"/>
        <v>2023</v>
      </c>
      <c r="H973" s="2">
        <f t="shared" si="47"/>
        <v>-964.57</v>
      </c>
    </row>
    <row r="974" spans="1:8" x14ac:dyDescent="0.25">
      <c r="A974" s="1">
        <v>45023</v>
      </c>
      <c r="B974" t="s">
        <v>989</v>
      </c>
      <c r="C974" t="s">
        <v>25</v>
      </c>
      <c r="D974">
        <v>1826.23</v>
      </c>
      <c r="E974" t="s">
        <v>7</v>
      </c>
      <c r="F974" s="2" t="str">
        <f t="shared" si="45"/>
        <v>Apr</v>
      </c>
      <c r="G974" s="2">
        <f t="shared" si="46"/>
        <v>2023</v>
      </c>
      <c r="H974" s="2">
        <f t="shared" si="47"/>
        <v>-1826.23</v>
      </c>
    </row>
    <row r="975" spans="1:8" x14ac:dyDescent="0.25">
      <c r="A975" s="1">
        <v>45024</v>
      </c>
      <c r="B975" t="s">
        <v>990</v>
      </c>
      <c r="C975" t="s">
        <v>17</v>
      </c>
      <c r="D975">
        <v>548.16999999999996</v>
      </c>
      <c r="E975" t="s">
        <v>7</v>
      </c>
      <c r="F975" s="2" t="str">
        <f t="shared" si="45"/>
        <v>Apr</v>
      </c>
      <c r="G975" s="2">
        <f t="shared" si="46"/>
        <v>2023</v>
      </c>
      <c r="H975" s="2">
        <f t="shared" si="47"/>
        <v>-548.16999999999996</v>
      </c>
    </row>
    <row r="976" spans="1:8" x14ac:dyDescent="0.25">
      <c r="A976" s="1">
        <v>45025</v>
      </c>
      <c r="B976" t="s">
        <v>991</v>
      </c>
      <c r="C976" t="s">
        <v>13</v>
      </c>
      <c r="D976">
        <v>740</v>
      </c>
      <c r="E976" t="s">
        <v>14</v>
      </c>
      <c r="F976" s="2" t="str">
        <f t="shared" si="45"/>
        <v>Apr</v>
      </c>
      <c r="G976" s="2">
        <f t="shared" si="46"/>
        <v>2023</v>
      </c>
      <c r="H976" s="2">
        <f t="shared" si="47"/>
        <v>740</v>
      </c>
    </row>
    <row r="977" spans="1:8" x14ac:dyDescent="0.25">
      <c r="A977" s="1">
        <v>45026</v>
      </c>
      <c r="B977" t="s">
        <v>992</v>
      </c>
      <c r="C977" t="s">
        <v>35</v>
      </c>
      <c r="D977">
        <v>126.6</v>
      </c>
      <c r="E977" t="s">
        <v>7</v>
      </c>
      <c r="F977" s="2" t="str">
        <f t="shared" si="45"/>
        <v>Apr</v>
      </c>
      <c r="G977" s="2">
        <f t="shared" si="46"/>
        <v>2023</v>
      </c>
      <c r="H977" s="2">
        <f t="shared" si="47"/>
        <v>-126.6</v>
      </c>
    </row>
    <row r="978" spans="1:8" x14ac:dyDescent="0.25">
      <c r="A978" s="1">
        <v>45026</v>
      </c>
      <c r="B978" t="s">
        <v>993</v>
      </c>
      <c r="C978" t="s">
        <v>25</v>
      </c>
      <c r="D978">
        <v>1536.02</v>
      </c>
      <c r="E978" t="s">
        <v>7</v>
      </c>
      <c r="F978" s="2" t="str">
        <f t="shared" si="45"/>
        <v>Apr</v>
      </c>
      <c r="G978" s="2">
        <f t="shared" si="46"/>
        <v>2023</v>
      </c>
      <c r="H978" s="2">
        <f t="shared" si="47"/>
        <v>-1536.02</v>
      </c>
    </row>
    <row r="979" spans="1:8" x14ac:dyDescent="0.25">
      <c r="A979" s="1">
        <v>45029</v>
      </c>
      <c r="B979" t="s">
        <v>994</v>
      </c>
      <c r="C979" t="s">
        <v>9</v>
      </c>
      <c r="D979">
        <v>209.27</v>
      </c>
      <c r="E979" t="s">
        <v>7</v>
      </c>
      <c r="F979" s="2" t="str">
        <f t="shared" si="45"/>
        <v>Apr</v>
      </c>
      <c r="G979" s="2">
        <f t="shared" si="46"/>
        <v>2023</v>
      </c>
      <c r="H979" s="2">
        <f t="shared" si="47"/>
        <v>-209.27</v>
      </c>
    </row>
    <row r="980" spans="1:8" x14ac:dyDescent="0.25">
      <c r="A980" s="1">
        <v>45031</v>
      </c>
      <c r="B980" t="s">
        <v>995</v>
      </c>
      <c r="C980" t="s">
        <v>35</v>
      </c>
      <c r="D980">
        <v>1072.04</v>
      </c>
      <c r="E980" t="s">
        <v>7</v>
      </c>
      <c r="F980" s="2" t="str">
        <f t="shared" si="45"/>
        <v>Apr</v>
      </c>
      <c r="G980" s="2">
        <f t="shared" si="46"/>
        <v>2023</v>
      </c>
      <c r="H980" s="2">
        <f t="shared" si="47"/>
        <v>-1072.04</v>
      </c>
    </row>
    <row r="981" spans="1:8" x14ac:dyDescent="0.25">
      <c r="A981" s="1">
        <v>45032</v>
      </c>
      <c r="B981" t="s">
        <v>996</v>
      </c>
      <c r="C981" t="s">
        <v>6</v>
      </c>
      <c r="D981">
        <v>1530.46</v>
      </c>
      <c r="E981" t="s">
        <v>7</v>
      </c>
      <c r="F981" s="2" t="str">
        <f t="shared" si="45"/>
        <v>Apr</v>
      </c>
      <c r="G981" s="2">
        <f t="shared" si="46"/>
        <v>2023</v>
      </c>
      <c r="H981" s="2">
        <f t="shared" si="47"/>
        <v>-1530.46</v>
      </c>
    </row>
    <row r="982" spans="1:8" x14ac:dyDescent="0.25">
      <c r="A982" s="1">
        <v>45036</v>
      </c>
      <c r="B982" t="s">
        <v>997</v>
      </c>
      <c r="C982" t="s">
        <v>17</v>
      </c>
      <c r="D982">
        <v>716.06</v>
      </c>
      <c r="E982" t="s">
        <v>7</v>
      </c>
      <c r="F982" s="2" t="str">
        <f t="shared" si="45"/>
        <v>Apr</v>
      </c>
      <c r="G982" s="2">
        <f t="shared" si="46"/>
        <v>2023</v>
      </c>
      <c r="H982" s="2">
        <f t="shared" si="47"/>
        <v>-716.06</v>
      </c>
    </row>
    <row r="983" spans="1:8" x14ac:dyDescent="0.25">
      <c r="A983" s="1">
        <v>45036</v>
      </c>
      <c r="B983" t="s">
        <v>998</v>
      </c>
      <c r="C983" t="s">
        <v>9</v>
      </c>
      <c r="D983">
        <v>360.44</v>
      </c>
      <c r="E983" t="s">
        <v>7</v>
      </c>
      <c r="F983" s="2" t="str">
        <f t="shared" si="45"/>
        <v>Apr</v>
      </c>
      <c r="G983" s="2">
        <f t="shared" si="46"/>
        <v>2023</v>
      </c>
      <c r="H983" s="2">
        <f t="shared" si="47"/>
        <v>-360.44</v>
      </c>
    </row>
    <row r="984" spans="1:8" x14ac:dyDescent="0.25">
      <c r="A984" s="1">
        <v>45037</v>
      </c>
      <c r="B984" t="s">
        <v>999</v>
      </c>
      <c r="C984" t="s">
        <v>25</v>
      </c>
      <c r="D984">
        <v>1828.82</v>
      </c>
      <c r="E984" t="s">
        <v>7</v>
      </c>
      <c r="F984" s="2" t="str">
        <f t="shared" si="45"/>
        <v>Apr</v>
      </c>
      <c r="G984" s="2">
        <f t="shared" si="46"/>
        <v>2023</v>
      </c>
      <c r="H984" s="2">
        <f t="shared" si="47"/>
        <v>-1828.82</v>
      </c>
    </row>
    <row r="985" spans="1:8" x14ac:dyDescent="0.25">
      <c r="A985" s="1">
        <v>45038</v>
      </c>
      <c r="B985" t="s">
        <v>1000</v>
      </c>
      <c r="C985" t="s">
        <v>20</v>
      </c>
      <c r="D985">
        <v>1664</v>
      </c>
      <c r="E985" t="s">
        <v>14</v>
      </c>
      <c r="F985" s="2" t="str">
        <f t="shared" si="45"/>
        <v>Apr</v>
      </c>
      <c r="G985" s="2">
        <f t="shared" si="46"/>
        <v>2023</v>
      </c>
      <c r="H985" s="2">
        <f t="shared" si="47"/>
        <v>1664</v>
      </c>
    </row>
    <row r="986" spans="1:8" x14ac:dyDescent="0.25">
      <c r="A986" s="1">
        <v>45038</v>
      </c>
      <c r="B986" t="s">
        <v>1001</v>
      </c>
      <c r="C986" t="s">
        <v>22</v>
      </c>
      <c r="D986">
        <v>1675.03</v>
      </c>
      <c r="E986" t="s">
        <v>7</v>
      </c>
      <c r="F986" s="2" t="str">
        <f t="shared" si="45"/>
        <v>Apr</v>
      </c>
      <c r="G986" s="2">
        <f t="shared" si="46"/>
        <v>2023</v>
      </c>
      <c r="H986" s="2">
        <f t="shared" si="47"/>
        <v>-1675.03</v>
      </c>
    </row>
    <row r="987" spans="1:8" x14ac:dyDescent="0.25">
      <c r="A987" s="1">
        <v>45039</v>
      </c>
      <c r="B987" t="s">
        <v>1002</v>
      </c>
      <c r="C987" t="s">
        <v>27</v>
      </c>
      <c r="D987">
        <v>1088.83</v>
      </c>
      <c r="E987" t="s">
        <v>7</v>
      </c>
      <c r="F987" s="2" t="str">
        <f t="shared" si="45"/>
        <v>Apr</v>
      </c>
      <c r="G987" s="2">
        <f t="shared" si="46"/>
        <v>2023</v>
      </c>
      <c r="H987" s="2">
        <f t="shared" si="47"/>
        <v>-1088.83</v>
      </c>
    </row>
    <row r="988" spans="1:8" x14ac:dyDescent="0.25">
      <c r="A988" s="1">
        <v>45040</v>
      </c>
      <c r="B988" t="s">
        <v>1003</v>
      </c>
      <c r="C988" t="s">
        <v>13</v>
      </c>
      <c r="D988">
        <v>1239</v>
      </c>
      <c r="E988" t="s">
        <v>14</v>
      </c>
      <c r="F988" s="2" t="str">
        <f t="shared" si="45"/>
        <v>Apr</v>
      </c>
      <c r="G988" s="2">
        <f t="shared" si="46"/>
        <v>2023</v>
      </c>
      <c r="H988" s="2">
        <f t="shared" si="47"/>
        <v>1239</v>
      </c>
    </row>
    <row r="989" spans="1:8" x14ac:dyDescent="0.25">
      <c r="A989" s="1">
        <v>45041</v>
      </c>
      <c r="B989" t="s">
        <v>1004</v>
      </c>
      <c r="C989" t="s">
        <v>13</v>
      </c>
      <c r="D989">
        <v>663</v>
      </c>
      <c r="E989" t="s">
        <v>14</v>
      </c>
      <c r="F989" s="2" t="str">
        <f t="shared" si="45"/>
        <v>Apr</v>
      </c>
      <c r="G989" s="2">
        <f t="shared" si="46"/>
        <v>2023</v>
      </c>
      <c r="H989" s="2">
        <f t="shared" si="47"/>
        <v>663</v>
      </c>
    </row>
    <row r="990" spans="1:8" x14ac:dyDescent="0.25">
      <c r="A990" s="1">
        <v>45048</v>
      </c>
      <c r="B990" t="s">
        <v>1005</v>
      </c>
      <c r="C990" t="s">
        <v>6</v>
      </c>
      <c r="D990">
        <v>670.15</v>
      </c>
      <c r="E990" t="s">
        <v>7</v>
      </c>
      <c r="F990" s="2" t="str">
        <f t="shared" si="45"/>
        <v>May</v>
      </c>
      <c r="G990" s="2">
        <f t="shared" si="46"/>
        <v>2023</v>
      </c>
      <c r="H990" s="2">
        <f t="shared" si="47"/>
        <v>-670.15</v>
      </c>
    </row>
    <row r="991" spans="1:8" x14ac:dyDescent="0.25">
      <c r="A991" s="1">
        <v>45048</v>
      </c>
      <c r="B991" t="s">
        <v>1006</v>
      </c>
      <c r="C991" t="s">
        <v>9</v>
      </c>
      <c r="D991">
        <v>688.11</v>
      </c>
      <c r="E991" t="s">
        <v>7</v>
      </c>
      <c r="F991" s="2" t="str">
        <f t="shared" si="45"/>
        <v>May</v>
      </c>
      <c r="G991" s="2">
        <f t="shared" si="46"/>
        <v>2023</v>
      </c>
      <c r="H991" s="2">
        <f t="shared" si="47"/>
        <v>-688.11</v>
      </c>
    </row>
    <row r="992" spans="1:8" x14ac:dyDescent="0.25">
      <c r="A992" s="1">
        <v>45049</v>
      </c>
      <c r="B992" t="s">
        <v>1007</v>
      </c>
      <c r="C992" t="s">
        <v>20</v>
      </c>
      <c r="D992">
        <v>987</v>
      </c>
      <c r="E992" t="s">
        <v>14</v>
      </c>
      <c r="F992" s="2" t="str">
        <f t="shared" si="45"/>
        <v>May</v>
      </c>
      <c r="G992" s="2">
        <f t="shared" si="46"/>
        <v>2023</v>
      </c>
      <c r="H992" s="2">
        <f t="shared" si="47"/>
        <v>987</v>
      </c>
    </row>
    <row r="993" spans="1:8" x14ac:dyDescent="0.25">
      <c r="A993" s="1">
        <v>45051</v>
      </c>
      <c r="B993" t="s">
        <v>1008</v>
      </c>
      <c r="C993" t="s">
        <v>13</v>
      </c>
      <c r="D993">
        <v>1408</v>
      </c>
      <c r="E993" t="s">
        <v>14</v>
      </c>
      <c r="F993" s="2" t="str">
        <f t="shared" si="45"/>
        <v>May</v>
      </c>
      <c r="G993" s="2">
        <f t="shared" si="46"/>
        <v>2023</v>
      </c>
      <c r="H993" s="2">
        <f t="shared" si="47"/>
        <v>1408</v>
      </c>
    </row>
    <row r="994" spans="1:8" x14ac:dyDescent="0.25">
      <c r="A994" s="1">
        <v>45051</v>
      </c>
      <c r="B994" t="s">
        <v>1009</v>
      </c>
      <c r="C994" t="s">
        <v>25</v>
      </c>
      <c r="D994">
        <v>1921.51</v>
      </c>
      <c r="E994" t="s">
        <v>7</v>
      </c>
      <c r="F994" s="2" t="str">
        <f t="shared" si="45"/>
        <v>May</v>
      </c>
      <c r="G994" s="2">
        <f t="shared" si="46"/>
        <v>2023</v>
      </c>
      <c r="H994" s="2">
        <f t="shared" si="47"/>
        <v>-1921.51</v>
      </c>
    </row>
    <row r="995" spans="1:8" x14ac:dyDescent="0.25">
      <c r="A995" s="1">
        <v>45051</v>
      </c>
      <c r="B995" t="s">
        <v>1010</v>
      </c>
      <c r="C995" t="s">
        <v>17</v>
      </c>
      <c r="D995">
        <v>1176.17</v>
      </c>
      <c r="E995" t="s">
        <v>7</v>
      </c>
      <c r="F995" s="2" t="str">
        <f t="shared" si="45"/>
        <v>May</v>
      </c>
      <c r="G995" s="2">
        <f t="shared" si="46"/>
        <v>2023</v>
      </c>
      <c r="H995" s="2">
        <f t="shared" si="47"/>
        <v>-1176.17</v>
      </c>
    </row>
    <row r="996" spans="1:8" x14ac:dyDescent="0.25">
      <c r="A996" s="1">
        <v>45053</v>
      </c>
      <c r="B996" t="s">
        <v>1011</v>
      </c>
      <c r="C996" t="s">
        <v>25</v>
      </c>
      <c r="D996">
        <v>281.54000000000002</v>
      </c>
      <c r="E996" t="s">
        <v>7</v>
      </c>
      <c r="F996" s="2" t="str">
        <f t="shared" si="45"/>
        <v>May</v>
      </c>
      <c r="G996" s="2">
        <f t="shared" si="46"/>
        <v>2023</v>
      </c>
      <c r="H996" s="2">
        <f t="shared" si="47"/>
        <v>-281.54000000000002</v>
      </c>
    </row>
    <row r="997" spans="1:8" x14ac:dyDescent="0.25">
      <c r="A997" s="1">
        <v>45058</v>
      </c>
      <c r="B997" t="s">
        <v>1012</v>
      </c>
      <c r="C997" t="s">
        <v>20</v>
      </c>
      <c r="D997">
        <v>4491</v>
      </c>
      <c r="E997" t="s">
        <v>14</v>
      </c>
      <c r="F997" s="2" t="str">
        <f t="shared" si="45"/>
        <v>May</v>
      </c>
      <c r="G997" s="2">
        <f t="shared" si="46"/>
        <v>2023</v>
      </c>
      <c r="H997" s="2">
        <f t="shared" si="47"/>
        <v>4491</v>
      </c>
    </row>
    <row r="998" spans="1:8" x14ac:dyDescent="0.25">
      <c r="A998" s="1">
        <v>45060</v>
      </c>
      <c r="B998" t="s">
        <v>1013</v>
      </c>
      <c r="C998" t="s">
        <v>9</v>
      </c>
      <c r="D998">
        <v>1417.29</v>
      </c>
      <c r="E998" t="s">
        <v>7</v>
      </c>
      <c r="F998" s="2" t="str">
        <f t="shared" si="45"/>
        <v>May</v>
      </c>
      <c r="G998" s="2">
        <f t="shared" si="46"/>
        <v>2023</v>
      </c>
      <c r="H998" s="2">
        <f t="shared" si="47"/>
        <v>-1417.29</v>
      </c>
    </row>
    <row r="999" spans="1:8" x14ac:dyDescent="0.25">
      <c r="A999" s="1">
        <v>45060</v>
      </c>
      <c r="B999" t="s">
        <v>1014</v>
      </c>
      <c r="C999" t="s">
        <v>25</v>
      </c>
      <c r="D999">
        <v>454.24</v>
      </c>
      <c r="E999" t="s">
        <v>7</v>
      </c>
      <c r="F999" s="2" t="str">
        <f t="shared" si="45"/>
        <v>May</v>
      </c>
      <c r="G999" s="2">
        <f t="shared" si="46"/>
        <v>2023</v>
      </c>
      <c r="H999" s="2">
        <f t="shared" si="47"/>
        <v>-454.24</v>
      </c>
    </row>
    <row r="1000" spans="1:8" x14ac:dyDescent="0.25">
      <c r="A1000" s="1">
        <v>45060</v>
      </c>
      <c r="B1000" t="s">
        <v>1015</v>
      </c>
      <c r="C1000" t="s">
        <v>9</v>
      </c>
      <c r="D1000">
        <v>762.98</v>
      </c>
      <c r="E1000" t="s">
        <v>7</v>
      </c>
      <c r="F1000" s="2" t="str">
        <f t="shared" si="45"/>
        <v>May</v>
      </c>
      <c r="G1000" s="2">
        <f t="shared" si="46"/>
        <v>2023</v>
      </c>
      <c r="H1000" s="2">
        <f t="shared" si="47"/>
        <v>-762.98</v>
      </c>
    </row>
    <row r="1001" spans="1:8" x14ac:dyDescent="0.25">
      <c r="A1001" s="1">
        <v>45061</v>
      </c>
      <c r="B1001" t="s">
        <v>1016</v>
      </c>
      <c r="C1001" t="s">
        <v>35</v>
      </c>
      <c r="D1001">
        <v>263.42</v>
      </c>
      <c r="E1001" t="s">
        <v>7</v>
      </c>
      <c r="F1001" s="2" t="str">
        <f t="shared" si="45"/>
        <v>May</v>
      </c>
      <c r="G1001" s="2">
        <f t="shared" si="46"/>
        <v>2023</v>
      </c>
      <c r="H1001" s="2">
        <f t="shared" si="47"/>
        <v>-263.42</v>
      </c>
    </row>
    <row r="1002" spans="1:8" x14ac:dyDescent="0.25">
      <c r="A1002" s="1">
        <v>45061</v>
      </c>
      <c r="B1002" t="s">
        <v>1017</v>
      </c>
      <c r="C1002" t="s">
        <v>17</v>
      </c>
      <c r="D1002">
        <v>1703.01</v>
      </c>
      <c r="E1002" t="s">
        <v>7</v>
      </c>
      <c r="F1002" s="2" t="str">
        <f t="shared" si="45"/>
        <v>May</v>
      </c>
      <c r="G1002" s="2">
        <f t="shared" si="46"/>
        <v>2023</v>
      </c>
      <c r="H1002" s="2">
        <f t="shared" si="47"/>
        <v>-1703.01</v>
      </c>
    </row>
    <row r="1003" spans="1:8" x14ac:dyDescent="0.25">
      <c r="A1003" s="1">
        <v>45062</v>
      </c>
      <c r="B1003" t="s">
        <v>1018</v>
      </c>
      <c r="C1003" t="s">
        <v>6</v>
      </c>
      <c r="D1003">
        <v>372.34</v>
      </c>
      <c r="E1003" t="s">
        <v>7</v>
      </c>
      <c r="F1003" s="2" t="str">
        <f t="shared" si="45"/>
        <v>May</v>
      </c>
      <c r="G1003" s="2">
        <f t="shared" si="46"/>
        <v>2023</v>
      </c>
      <c r="H1003" s="2">
        <f t="shared" si="47"/>
        <v>-372.34</v>
      </c>
    </row>
    <row r="1004" spans="1:8" x14ac:dyDescent="0.25">
      <c r="A1004" s="1">
        <v>45063</v>
      </c>
      <c r="B1004" t="s">
        <v>1019</v>
      </c>
      <c r="C1004" t="s">
        <v>22</v>
      </c>
      <c r="D1004">
        <v>1282.9000000000001</v>
      </c>
      <c r="E1004" t="s">
        <v>7</v>
      </c>
      <c r="F1004" s="2" t="str">
        <f t="shared" si="45"/>
        <v>May</v>
      </c>
      <c r="G1004" s="2">
        <f t="shared" si="46"/>
        <v>2023</v>
      </c>
      <c r="H1004" s="2">
        <f t="shared" si="47"/>
        <v>-1282.9000000000001</v>
      </c>
    </row>
    <row r="1005" spans="1:8" x14ac:dyDescent="0.25">
      <c r="A1005" s="1">
        <v>45064</v>
      </c>
      <c r="B1005" t="s">
        <v>1020</v>
      </c>
      <c r="C1005" t="s">
        <v>20</v>
      </c>
      <c r="D1005">
        <v>1652</v>
      </c>
      <c r="E1005" t="s">
        <v>14</v>
      </c>
      <c r="F1005" s="2" t="str">
        <f t="shared" si="45"/>
        <v>May</v>
      </c>
      <c r="G1005" s="2">
        <f t="shared" si="46"/>
        <v>2023</v>
      </c>
      <c r="H1005" s="2">
        <f t="shared" si="47"/>
        <v>1652</v>
      </c>
    </row>
    <row r="1006" spans="1:8" x14ac:dyDescent="0.25">
      <c r="A1006" s="1">
        <v>45065</v>
      </c>
      <c r="B1006" t="s">
        <v>1021</v>
      </c>
      <c r="C1006" t="s">
        <v>11</v>
      </c>
      <c r="D1006">
        <v>483.61</v>
      </c>
      <c r="E1006" t="s">
        <v>7</v>
      </c>
      <c r="F1006" s="2" t="str">
        <f t="shared" si="45"/>
        <v>May</v>
      </c>
      <c r="G1006" s="2">
        <f t="shared" si="46"/>
        <v>2023</v>
      </c>
      <c r="H1006" s="2">
        <f t="shared" si="47"/>
        <v>-483.61</v>
      </c>
    </row>
    <row r="1007" spans="1:8" x14ac:dyDescent="0.25">
      <c r="A1007" s="1">
        <v>45066</v>
      </c>
      <c r="B1007" t="s">
        <v>1022</v>
      </c>
      <c r="C1007" t="s">
        <v>9</v>
      </c>
      <c r="D1007">
        <v>1276.01</v>
      </c>
      <c r="E1007" t="s">
        <v>7</v>
      </c>
      <c r="F1007" s="2" t="str">
        <f t="shared" si="45"/>
        <v>May</v>
      </c>
      <c r="G1007" s="2">
        <f t="shared" si="46"/>
        <v>2023</v>
      </c>
      <c r="H1007" s="2">
        <f t="shared" si="47"/>
        <v>-1276.01</v>
      </c>
    </row>
    <row r="1008" spans="1:8" x14ac:dyDescent="0.25">
      <c r="A1008" s="1">
        <v>45066</v>
      </c>
      <c r="B1008" t="s">
        <v>1023</v>
      </c>
      <c r="C1008" t="s">
        <v>25</v>
      </c>
      <c r="D1008">
        <v>898.79</v>
      </c>
      <c r="E1008" t="s">
        <v>7</v>
      </c>
      <c r="F1008" s="2" t="str">
        <f t="shared" si="45"/>
        <v>May</v>
      </c>
      <c r="G1008" s="2">
        <f t="shared" si="46"/>
        <v>2023</v>
      </c>
      <c r="H1008" s="2">
        <f t="shared" si="47"/>
        <v>-898.79</v>
      </c>
    </row>
    <row r="1009" spans="1:8" x14ac:dyDescent="0.25">
      <c r="A1009" s="1">
        <v>45066</v>
      </c>
      <c r="B1009" t="s">
        <v>1024</v>
      </c>
      <c r="C1009" t="s">
        <v>22</v>
      </c>
      <c r="D1009">
        <v>1389.42</v>
      </c>
      <c r="E1009" t="s">
        <v>7</v>
      </c>
      <c r="F1009" s="2" t="str">
        <f t="shared" si="45"/>
        <v>May</v>
      </c>
      <c r="G1009" s="2">
        <f t="shared" si="46"/>
        <v>2023</v>
      </c>
      <c r="H1009" s="2">
        <f t="shared" si="47"/>
        <v>-1389.42</v>
      </c>
    </row>
    <row r="1010" spans="1:8" x14ac:dyDescent="0.25">
      <c r="A1010" s="1">
        <v>45068</v>
      </c>
      <c r="B1010" t="s">
        <v>1025</v>
      </c>
      <c r="C1010" t="s">
        <v>11</v>
      </c>
      <c r="D1010">
        <v>1443.62</v>
      </c>
      <c r="E1010" t="s">
        <v>7</v>
      </c>
      <c r="F1010" s="2" t="str">
        <f t="shared" si="45"/>
        <v>May</v>
      </c>
      <c r="G1010" s="2">
        <f t="shared" si="46"/>
        <v>2023</v>
      </c>
      <c r="H1010" s="2">
        <f t="shared" si="47"/>
        <v>-1443.62</v>
      </c>
    </row>
    <row r="1011" spans="1:8" x14ac:dyDescent="0.25">
      <c r="A1011" s="1">
        <v>45068</v>
      </c>
      <c r="B1011" t="s">
        <v>1026</v>
      </c>
      <c r="C1011" t="s">
        <v>20</v>
      </c>
      <c r="D1011">
        <v>3937</v>
      </c>
      <c r="E1011" t="s">
        <v>14</v>
      </c>
      <c r="F1011" s="2" t="str">
        <f t="shared" si="45"/>
        <v>May</v>
      </c>
      <c r="G1011" s="2">
        <f t="shared" si="46"/>
        <v>2023</v>
      </c>
      <c r="H1011" s="2">
        <f t="shared" si="47"/>
        <v>3937</v>
      </c>
    </row>
    <row r="1012" spans="1:8" x14ac:dyDescent="0.25">
      <c r="A1012" s="1">
        <v>45068</v>
      </c>
      <c r="B1012" t="s">
        <v>1027</v>
      </c>
      <c r="C1012" t="s">
        <v>17</v>
      </c>
      <c r="D1012">
        <v>991.23</v>
      </c>
      <c r="E1012" t="s">
        <v>7</v>
      </c>
      <c r="F1012" s="2" t="str">
        <f t="shared" si="45"/>
        <v>May</v>
      </c>
      <c r="G1012" s="2">
        <f t="shared" si="46"/>
        <v>2023</v>
      </c>
      <c r="H1012" s="2">
        <f t="shared" si="47"/>
        <v>-991.23</v>
      </c>
    </row>
    <row r="1013" spans="1:8" x14ac:dyDescent="0.25">
      <c r="A1013" s="1">
        <v>45071</v>
      </c>
      <c r="B1013" t="s">
        <v>1028</v>
      </c>
      <c r="C1013" t="s">
        <v>17</v>
      </c>
      <c r="D1013">
        <v>211.84</v>
      </c>
      <c r="E1013" t="s">
        <v>7</v>
      </c>
      <c r="F1013" s="2" t="str">
        <f t="shared" si="45"/>
        <v>May</v>
      </c>
      <c r="G1013" s="2">
        <f t="shared" si="46"/>
        <v>2023</v>
      </c>
      <c r="H1013" s="2">
        <f t="shared" si="47"/>
        <v>-211.84</v>
      </c>
    </row>
    <row r="1014" spans="1:8" x14ac:dyDescent="0.25">
      <c r="A1014" s="1">
        <v>45074</v>
      </c>
      <c r="B1014" t="s">
        <v>1029</v>
      </c>
      <c r="C1014" t="s">
        <v>22</v>
      </c>
      <c r="D1014">
        <v>333.69</v>
      </c>
      <c r="E1014" t="s">
        <v>7</v>
      </c>
      <c r="F1014" s="2" t="str">
        <f t="shared" si="45"/>
        <v>May</v>
      </c>
      <c r="G1014" s="2">
        <f t="shared" si="46"/>
        <v>2023</v>
      </c>
      <c r="H1014" s="2">
        <f t="shared" si="47"/>
        <v>-333.69</v>
      </c>
    </row>
    <row r="1015" spans="1:8" x14ac:dyDescent="0.25">
      <c r="A1015" s="1">
        <v>45075</v>
      </c>
      <c r="B1015" t="s">
        <v>1030</v>
      </c>
      <c r="C1015" t="s">
        <v>13</v>
      </c>
      <c r="D1015">
        <v>2915</v>
      </c>
      <c r="E1015" t="s">
        <v>14</v>
      </c>
      <c r="F1015" s="2" t="str">
        <f t="shared" si="45"/>
        <v>May</v>
      </c>
      <c r="G1015" s="2">
        <f t="shared" si="46"/>
        <v>2023</v>
      </c>
      <c r="H1015" s="2">
        <f t="shared" si="47"/>
        <v>2915</v>
      </c>
    </row>
    <row r="1016" spans="1:8" x14ac:dyDescent="0.25">
      <c r="A1016" s="1">
        <v>45075</v>
      </c>
      <c r="B1016" t="s">
        <v>1031</v>
      </c>
      <c r="C1016" t="s">
        <v>20</v>
      </c>
      <c r="D1016">
        <v>1357</v>
      </c>
      <c r="E1016" t="s">
        <v>14</v>
      </c>
      <c r="F1016" s="2" t="str">
        <f t="shared" si="45"/>
        <v>May</v>
      </c>
      <c r="G1016" s="2">
        <f t="shared" si="46"/>
        <v>2023</v>
      </c>
      <c r="H1016" s="2">
        <f t="shared" si="47"/>
        <v>1357</v>
      </c>
    </row>
    <row r="1017" spans="1:8" x14ac:dyDescent="0.25">
      <c r="A1017" s="1">
        <v>45076</v>
      </c>
      <c r="B1017" t="s">
        <v>1032</v>
      </c>
      <c r="C1017" t="s">
        <v>13</v>
      </c>
      <c r="D1017">
        <v>3575</v>
      </c>
      <c r="E1017" t="s">
        <v>14</v>
      </c>
      <c r="F1017" s="2" t="str">
        <f t="shared" si="45"/>
        <v>May</v>
      </c>
      <c r="G1017" s="2">
        <f t="shared" si="46"/>
        <v>2023</v>
      </c>
      <c r="H1017" s="2">
        <f t="shared" si="47"/>
        <v>3575</v>
      </c>
    </row>
    <row r="1018" spans="1:8" x14ac:dyDescent="0.25">
      <c r="A1018" s="1">
        <v>45079</v>
      </c>
      <c r="B1018" t="s">
        <v>1033</v>
      </c>
      <c r="C1018" t="s">
        <v>13</v>
      </c>
      <c r="D1018">
        <v>4981</v>
      </c>
      <c r="E1018" t="s">
        <v>14</v>
      </c>
      <c r="F1018" s="2" t="str">
        <f t="shared" si="45"/>
        <v>Jun</v>
      </c>
      <c r="G1018" s="2">
        <f t="shared" si="46"/>
        <v>2023</v>
      </c>
      <c r="H1018" s="2">
        <f t="shared" si="47"/>
        <v>4981</v>
      </c>
    </row>
    <row r="1019" spans="1:8" x14ac:dyDescent="0.25">
      <c r="A1019" s="1">
        <v>45080</v>
      </c>
      <c r="B1019" t="s">
        <v>1034</v>
      </c>
      <c r="C1019" t="s">
        <v>11</v>
      </c>
      <c r="D1019">
        <v>682.52</v>
      </c>
      <c r="E1019" t="s">
        <v>7</v>
      </c>
      <c r="F1019" s="2" t="str">
        <f t="shared" si="45"/>
        <v>Jun</v>
      </c>
      <c r="G1019" s="2">
        <f t="shared" si="46"/>
        <v>2023</v>
      </c>
      <c r="H1019" s="2">
        <f t="shared" si="47"/>
        <v>-682.52</v>
      </c>
    </row>
    <row r="1020" spans="1:8" x14ac:dyDescent="0.25">
      <c r="A1020" s="1">
        <v>45081</v>
      </c>
      <c r="B1020" t="s">
        <v>1035</v>
      </c>
      <c r="C1020" t="s">
        <v>27</v>
      </c>
      <c r="D1020">
        <v>1411.96</v>
      </c>
      <c r="E1020" t="s">
        <v>7</v>
      </c>
      <c r="F1020" s="2" t="str">
        <f t="shared" si="45"/>
        <v>Jun</v>
      </c>
      <c r="G1020" s="2">
        <f t="shared" si="46"/>
        <v>2023</v>
      </c>
      <c r="H1020" s="2">
        <f t="shared" si="47"/>
        <v>-1411.96</v>
      </c>
    </row>
    <row r="1021" spans="1:8" x14ac:dyDescent="0.25">
      <c r="A1021" s="1">
        <v>45082</v>
      </c>
      <c r="B1021" t="s">
        <v>1036</v>
      </c>
      <c r="C1021" t="s">
        <v>9</v>
      </c>
      <c r="D1021">
        <v>1218.56</v>
      </c>
      <c r="E1021" t="s">
        <v>7</v>
      </c>
      <c r="F1021" s="2" t="str">
        <f t="shared" si="45"/>
        <v>Jun</v>
      </c>
      <c r="G1021" s="2">
        <f t="shared" si="46"/>
        <v>2023</v>
      </c>
      <c r="H1021" s="2">
        <f t="shared" si="47"/>
        <v>-1218.56</v>
      </c>
    </row>
    <row r="1022" spans="1:8" x14ac:dyDescent="0.25">
      <c r="A1022" s="1">
        <v>45085</v>
      </c>
      <c r="B1022" t="s">
        <v>1037</v>
      </c>
      <c r="C1022" t="s">
        <v>6</v>
      </c>
      <c r="D1022">
        <v>211.5</v>
      </c>
      <c r="E1022" t="s">
        <v>7</v>
      </c>
      <c r="F1022" s="2" t="str">
        <f t="shared" si="45"/>
        <v>Jun</v>
      </c>
      <c r="G1022" s="2">
        <f t="shared" si="46"/>
        <v>2023</v>
      </c>
      <c r="H1022" s="2">
        <f t="shared" si="47"/>
        <v>-211.5</v>
      </c>
    </row>
    <row r="1023" spans="1:8" x14ac:dyDescent="0.25">
      <c r="A1023" s="1">
        <v>45085</v>
      </c>
      <c r="B1023" t="s">
        <v>1038</v>
      </c>
      <c r="C1023" t="s">
        <v>22</v>
      </c>
      <c r="D1023">
        <v>824.47</v>
      </c>
      <c r="E1023" t="s">
        <v>7</v>
      </c>
      <c r="F1023" s="2" t="str">
        <f t="shared" si="45"/>
        <v>Jun</v>
      </c>
      <c r="G1023" s="2">
        <f t="shared" si="46"/>
        <v>2023</v>
      </c>
      <c r="H1023" s="2">
        <f t="shared" si="47"/>
        <v>-824.47</v>
      </c>
    </row>
    <row r="1024" spans="1:8" x14ac:dyDescent="0.25">
      <c r="A1024" s="1">
        <v>45086</v>
      </c>
      <c r="B1024" t="s">
        <v>1039</v>
      </c>
      <c r="C1024" t="s">
        <v>35</v>
      </c>
      <c r="D1024">
        <v>1324.59</v>
      </c>
      <c r="E1024" t="s">
        <v>7</v>
      </c>
      <c r="F1024" s="2" t="str">
        <f t="shared" si="45"/>
        <v>Jun</v>
      </c>
      <c r="G1024" s="2">
        <f t="shared" si="46"/>
        <v>2023</v>
      </c>
      <c r="H1024" s="2">
        <f t="shared" si="47"/>
        <v>-1324.59</v>
      </c>
    </row>
    <row r="1025" spans="1:8" x14ac:dyDescent="0.25">
      <c r="A1025" s="1">
        <v>45086</v>
      </c>
      <c r="B1025" t="s">
        <v>1040</v>
      </c>
      <c r="C1025" t="s">
        <v>11</v>
      </c>
      <c r="D1025">
        <v>108.77</v>
      </c>
      <c r="E1025" t="s">
        <v>7</v>
      </c>
      <c r="F1025" s="2" t="str">
        <f t="shared" si="45"/>
        <v>Jun</v>
      </c>
      <c r="G1025" s="2">
        <f t="shared" si="46"/>
        <v>2023</v>
      </c>
      <c r="H1025" s="2">
        <f t="shared" si="47"/>
        <v>-108.77</v>
      </c>
    </row>
    <row r="1026" spans="1:8" x14ac:dyDescent="0.25">
      <c r="A1026" s="1">
        <v>45087</v>
      </c>
      <c r="B1026" t="s">
        <v>1041</v>
      </c>
      <c r="C1026" t="s">
        <v>27</v>
      </c>
      <c r="D1026">
        <v>315.64</v>
      </c>
      <c r="E1026" t="s">
        <v>7</v>
      </c>
      <c r="F1026" s="2" t="str">
        <f t="shared" ref="F1026:F1089" si="48">TEXT(A1026,"mmm")</f>
        <v>Jun</v>
      </c>
      <c r="G1026" s="2">
        <f t="shared" ref="G1026:G1089" si="49">YEAR(A1026)</f>
        <v>2023</v>
      </c>
      <c r="H1026" s="2">
        <f t="shared" ref="H1026:H1089" si="50">IF(E1026="Income",D1026,-D1026)</f>
        <v>-315.64</v>
      </c>
    </row>
    <row r="1027" spans="1:8" x14ac:dyDescent="0.25">
      <c r="A1027" s="1">
        <v>45087</v>
      </c>
      <c r="B1027" t="s">
        <v>1042</v>
      </c>
      <c r="C1027" t="s">
        <v>17</v>
      </c>
      <c r="D1027">
        <v>184.38</v>
      </c>
      <c r="E1027" t="s">
        <v>7</v>
      </c>
      <c r="F1027" s="2" t="str">
        <f t="shared" si="48"/>
        <v>Jun</v>
      </c>
      <c r="G1027" s="2">
        <f t="shared" si="49"/>
        <v>2023</v>
      </c>
      <c r="H1027" s="2">
        <f t="shared" si="50"/>
        <v>-184.38</v>
      </c>
    </row>
    <row r="1028" spans="1:8" x14ac:dyDescent="0.25">
      <c r="A1028" s="1">
        <v>45090</v>
      </c>
      <c r="B1028" t="s">
        <v>1043</v>
      </c>
      <c r="C1028" t="s">
        <v>27</v>
      </c>
      <c r="D1028">
        <v>407.35</v>
      </c>
      <c r="E1028" t="s">
        <v>7</v>
      </c>
      <c r="F1028" s="2" t="str">
        <f t="shared" si="48"/>
        <v>Jun</v>
      </c>
      <c r="G1028" s="2">
        <f t="shared" si="49"/>
        <v>2023</v>
      </c>
      <c r="H1028" s="2">
        <f t="shared" si="50"/>
        <v>-407.35</v>
      </c>
    </row>
    <row r="1029" spans="1:8" x14ac:dyDescent="0.25">
      <c r="A1029" s="1">
        <v>45092</v>
      </c>
      <c r="B1029" t="s">
        <v>1044</v>
      </c>
      <c r="C1029" t="s">
        <v>13</v>
      </c>
      <c r="D1029">
        <v>2890</v>
      </c>
      <c r="E1029" t="s">
        <v>14</v>
      </c>
      <c r="F1029" s="2" t="str">
        <f t="shared" si="48"/>
        <v>Jun</v>
      </c>
      <c r="G1029" s="2">
        <f t="shared" si="49"/>
        <v>2023</v>
      </c>
      <c r="H1029" s="2">
        <f t="shared" si="50"/>
        <v>2890</v>
      </c>
    </row>
    <row r="1030" spans="1:8" x14ac:dyDescent="0.25">
      <c r="A1030" s="1">
        <v>45093</v>
      </c>
      <c r="B1030" t="s">
        <v>1045</v>
      </c>
      <c r="C1030" t="s">
        <v>27</v>
      </c>
      <c r="D1030">
        <v>1689.1</v>
      </c>
      <c r="E1030" t="s">
        <v>7</v>
      </c>
      <c r="F1030" s="2" t="str">
        <f t="shared" si="48"/>
        <v>Jun</v>
      </c>
      <c r="G1030" s="2">
        <f t="shared" si="49"/>
        <v>2023</v>
      </c>
      <c r="H1030" s="2">
        <f t="shared" si="50"/>
        <v>-1689.1</v>
      </c>
    </row>
    <row r="1031" spans="1:8" x14ac:dyDescent="0.25">
      <c r="A1031" s="1">
        <v>45093</v>
      </c>
      <c r="B1031" t="s">
        <v>1046</v>
      </c>
      <c r="C1031" t="s">
        <v>17</v>
      </c>
      <c r="D1031">
        <v>947.18</v>
      </c>
      <c r="E1031" t="s">
        <v>7</v>
      </c>
      <c r="F1031" s="2" t="str">
        <f t="shared" si="48"/>
        <v>Jun</v>
      </c>
      <c r="G1031" s="2">
        <f t="shared" si="49"/>
        <v>2023</v>
      </c>
      <c r="H1031" s="2">
        <f t="shared" si="50"/>
        <v>-947.18</v>
      </c>
    </row>
    <row r="1032" spans="1:8" x14ac:dyDescent="0.25">
      <c r="A1032" s="1">
        <v>45094</v>
      </c>
      <c r="B1032" t="s">
        <v>1047</v>
      </c>
      <c r="C1032" t="s">
        <v>35</v>
      </c>
      <c r="D1032">
        <v>191.36</v>
      </c>
      <c r="E1032" t="s">
        <v>7</v>
      </c>
      <c r="F1032" s="2" t="str">
        <f t="shared" si="48"/>
        <v>Jun</v>
      </c>
      <c r="G1032" s="2">
        <f t="shared" si="49"/>
        <v>2023</v>
      </c>
      <c r="H1032" s="2">
        <f t="shared" si="50"/>
        <v>-191.36</v>
      </c>
    </row>
    <row r="1033" spans="1:8" x14ac:dyDescent="0.25">
      <c r="A1033" s="1">
        <v>45094</v>
      </c>
      <c r="B1033" t="s">
        <v>1048</v>
      </c>
      <c r="C1033" t="s">
        <v>9</v>
      </c>
      <c r="D1033">
        <v>748.33</v>
      </c>
      <c r="E1033" t="s">
        <v>7</v>
      </c>
      <c r="F1033" s="2" t="str">
        <f t="shared" si="48"/>
        <v>Jun</v>
      </c>
      <c r="G1033" s="2">
        <f t="shared" si="49"/>
        <v>2023</v>
      </c>
      <c r="H1033" s="2">
        <f t="shared" si="50"/>
        <v>-748.33</v>
      </c>
    </row>
    <row r="1034" spans="1:8" x14ac:dyDescent="0.25">
      <c r="A1034" s="1">
        <v>45096</v>
      </c>
      <c r="B1034" t="s">
        <v>1049</v>
      </c>
      <c r="C1034" t="s">
        <v>9</v>
      </c>
      <c r="D1034">
        <v>897.09</v>
      </c>
      <c r="E1034" t="s">
        <v>7</v>
      </c>
      <c r="F1034" s="2" t="str">
        <f t="shared" si="48"/>
        <v>Jun</v>
      </c>
      <c r="G1034" s="2">
        <f t="shared" si="49"/>
        <v>2023</v>
      </c>
      <c r="H1034" s="2">
        <f t="shared" si="50"/>
        <v>-897.09</v>
      </c>
    </row>
    <row r="1035" spans="1:8" x14ac:dyDescent="0.25">
      <c r="A1035" s="1">
        <v>45098</v>
      </c>
      <c r="B1035" t="s">
        <v>1050</v>
      </c>
      <c r="C1035" t="s">
        <v>27</v>
      </c>
      <c r="D1035">
        <v>534.16999999999996</v>
      </c>
      <c r="E1035" t="s">
        <v>7</v>
      </c>
      <c r="F1035" s="2" t="str">
        <f t="shared" si="48"/>
        <v>Jun</v>
      </c>
      <c r="G1035" s="2">
        <f t="shared" si="49"/>
        <v>2023</v>
      </c>
      <c r="H1035" s="2">
        <f t="shared" si="50"/>
        <v>-534.16999999999996</v>
      </c>
    </row>
    <row r="1036" spans="1:8" x14ac:dyDescent="0.25">
      <c r="A1036" s="1">
        <v>45099</v>
      </c>
      <c r="B1036" t="s">
        <v>1051</v>
      </c>
      <c r="C1036" t="s">
        <v>6</v>
      </c>
      <c r="D1036">
        <v>310.75</v>
      </c>
      <c r="E1036" t="s">
        <v>7</v>
      </c>
      <c r="F1036" s="2" t="str">
        <f t="shared" si="48"/>
        <v>Jun</v>
      </c>
      <c r="G1036" s="2">
        <f t="shared" si="49"/>
        <v>2023</v>
      </c>
      <c r="H1036" s="2">
        <f t="shared" si="50"/>
        <v>-310.75</v>
      </c>
    </row>
    <row r="1037" spans="1:8" x14ac:dyDescent="0.25">
      <c r="A1037" s="1">
        <v>45099</v>
      </c>
      <c r="B1037" t="s">
        <v>1052</v>
      </c>
      <c r="C1037" t="s">
        <v>11</v>
      </c>
      <c r="D1037">
        <v>180.56</v>
      </c>
      <c r="E1037" t="s">
        <v>7</v>
      </c>
      <c r="F1037" s="2" t="str">
        <f t="shared" si="48"/>
        <v>Jun</v>
      </c>
      <c r="G1037" s="2">
        <f t="shared" si="49"/>
        <v>2023</v>
      </c>
      <c r="H1037" s="2">
        <f t="shared" si="50"/>
        <v>-180.56</v>
      </c>
    </row>
    <row r="1038" spans="1:8" x14ac:dyDescent="0.25">
      <c r="A1038" s="1">
        <v>45100</v>
      </c>
      <c r="B1038" t="s">
        <v>1053</v>
      </c>
      <c r="C1038" t="s">
        <v>17</v>
      </c>
      <c r="D1038">
        <v>1941.7</v>
      </c>
      <c r="E1038" t="s">
        <v>7</v>
      </c>
      <c r="F1038" s="2" t="str">
        <f t="shared" si="48"/>
        <v>Jun</v>
      </c>
      <c r="G1038" s="2">
        <f t="shared" si="49"/>
        <v>2023</v>
      </c>
      <c r="H1038" s="2">
        <f t="shared" si="50"/>
        <v>-1941.7</v>
      </c>
    </row>
    <row r="1039" spans="1:8" x14ac:dyDescent="0.25">
      <c r="A1039" s="1">
        <v>45102</v>
      </c>
      <c r="B1039" t="s">
        <v>1054</v>
      </c>
      <c r="C1039" t="s">
        <v>6</v>
      </c>
      <c r="D1039">
        <v>1683.19</v>
      </c>
      <c r="E1039" t="s">
        <v>7</v>
      </c>
      <c r="F1039" s="2" t="str">
        <f t="shared" si="48"/>
        <v>Jun</v>
      </c>
      <c r="G1039" s="2">
        <f t="shared" si="49"/>
        <v>2023</v>
      </c>
      <c r="H1039" s="2">
        <f t="shared" si="50"/>
        <v>-1683.19</v>
      </c>
    </row>
    <row r="1040" spans="1:8" x14ac:dyDescent="0.25">
      <c r="A1040" s="1">
        <v>45102</v>
      </c>
      <c r="B1040" t="s">
        <v>1055</v>
      </c>
      <c r="C1040" t="s">
        <v>17</v>
      </c>
      <c r="D1040">
        <v>1931.6</v>
      </c>
      <c r="E1040" t="s">
        <v>7</v>
      </c>
      <c r="F1040" s="2" t="str">
        <f t="shared" si="48"/>
        <v>Jun</v>
      </c>
      <c r="G1040" s="2">
        <f t="shared" si="49"/>
        <v>2023</v>
      </c>
      <c r="H1040" s="2">
        <f t="shared" si="50"/>
        <v>-1931.6</v>
      </c>
    </row>
    <row r="1041" spans="1:8" x14ac:dyDescent="0.25">
      <c r="A1041" s="1">
        <v>45102</v>
      </c>
      <c r="B1041" t="s">
        <v>1056</v>
      </c>
      <c r="C1041" t="s">
        <v>27</v>
      </c>
      <c r="D1041">
        <v>1149.7</v>
      </c>
      <c r="E1041" t="s">
        <v>7</v>
      </c>
      <c r="F1041" s="2" t="str">
        <f t="shared" si="48"/>
        <v>Jun</v>
      </c>
      <c r="G1041" s="2">
        <f t="shared" si="49"/>
        <v>2023</v>
      </c>
      <c r="H1041" s="2">
        <f t="shared" si="50"/>
        <v>-1149.7</v>
      </c>
    </row>
    <row r="1042" spans="1:8" x14ac:dyDescent="0.25">
      <c r="A1042" s="1">
        <v>45103</v>
      </c>
      <c r="B1042" t="s">
        <v>1057</v>
      </c>
      <c r="C1042" t="s">
        <v>35</v>
      </c>
      <c r="D1042">
        <v>167.12</v>
      </c>
      <c r="E1042" t="s">
        <v>7</v>
      </c>
      <c r="F1042" s="2" t="str">
        <f t="shared" si="48"/>
        <v>Jun</v>
      </c>
      <c r="G1042" s="2">
        <f t="shared" si="49"/>
        <v>2023</v>
      </c>
      <c r="H1042" s="2">
        <f t="shared" si="50"/>
        <v>-167.12</v>
      </c>
    </row>
    <row r="1043" spans="1:8" x14ac:dyDescent="0.25">
      <c r="A1043" s="1">
        <v>45107</v>
      </c>
      <c r="B1043" t="s">
        <v>1058</v>
      </c>
      <c r="C1043" t="s">
        <v>6</v>
      </c>
      <c r="D1043">
        <v>1009.18</v>
      </c>
      <c r="E1043" t="s">
        <v>7</v>
      </c>
      <c r="F1043" s="2" t="str">
        <f t="shared" si="48"/>
        <v>Jun</v>
      </c>
      <c r="G1043" s="2">
        <f t="shared" si="49"/>
        <v>2023</v>
      </c>
      <c r="H1043" s="2">
        <f t="shared" si="50"/>
        <v>-1009.18</v>
      </c>
    </row>
    <row r="1044" spans="1:8" x14ac:dyDescent="0.25">
      <c r="A1044" s="1">
        <v>45108</v>
      </c>
      <c r="B1044" t="s">
        <v>1059</v>
      </c>
      <c r="C1044" t="s">
        <v>9</v>
      </c>
      <c r="D1044">
        <v>249.36</v>
      </c>
      <c r="E1044" t="s">
        <v>7</v>
      </c>
      <c r="F1044" s="2" t="str">
        <f t="shared" si="48"/>
        <v>Jul</v>
      </c>
      <c r="G1044" s="2">
        <f t="shared" si="49"/>
        <v>2023</v>
      </c>
      <c r="H1044" s="2">
        <f t="shared" si="50"/>
        <v>-249.36</v>
      </c>
    </row>
    <row r="1045" spans="1:8" x14ac:dyDescent="0.25">
      <c r="A1045" s="1">
        <v>45109</v>
      </c>
      <c r="B1045" t="s">
        <v>1060</v>
      </c>
      <c r="C1045" t="s">
        <v>9</v>
      </c>
      <c r="D1045">
        <v>1898.63</v>
      </c>
      <c r="E1045" t="s">
        <v>7</v>
      </c>
      <c r="F1045" s="2" t="str">
        <f t="shared" si="48"/>
        <v>Jul</v>
      </c>
      <c r="G1045" s="2">
        <f t="shared" si="49"/>
        <v>2023</v>
      </c>
      <c r="H1045" s="2">
        <f t="shared" si="50"/>
        <v>-1898.63</v>
      </c>
    </row>
    <row r="1046" spans="1:8" x14ac:dyDescent="0.25">
      <c r="A1046" s="1">
        <v>45112</v>
      </c>
      <c r="B1046" t="s">
        <v>1061</v>
      </c>
      <c r="C1046" t="s">
        <v>13</v>
      </c>
      <c r="D1046">
        <v>2078</v>
      </c>
      <c r="E1046" t="s">
        <v>14</v>
      </c>
      <c r="F1046" s="2" t="str">
        <f t="shared" si="48"/>
        <v>Jul</v>
      </c>
      <c r="G1046" s="2">
        <f t="shared" si="49"/>
        <v>2023</v>
      </c>
      <c r="H1046" s="2">
        <f t="shared" si="50"/>
        <v>2078</v>
      </c>
    </row>
    <row r="1047" spans="1:8" x14ac:dyDescent="0.25">
      <c r="A1047" s="1">
        <v>45112</v>
      </c>
      <c r="B1047" t="s">
        <v>1062</v>
      </c>
      <c r="C1047" t="s">
        <v>20</v>
      </c>
      <c r="D1047">
        <v>1141</v>
      </c>
      <c r="E1047" t="s">
        <v>14</v>
      </c>
      <c r="F1047" s="2" t="str">
        <f t="shared" si="48"/>
        <v>Jul</v>
      </c>
      <c r="G1047" s="2">
        <f t="shared" si="49"/>
        <v>2023</v>
      </c>
      <c r="H1047" s="2">
        <f t="shared" si="50"/>
        <v>1141</v>
      </c>
    </row>
    <row r="1048" spans="1:8" x14ac:dyDescent="0.25">
      <c r="A1048" s="1">
        <v>45113</v>
      </c>
      <c r="B1048" t="s">
        <v>1063</v>
      </c>
      <c r="C1048" t="s">
        <v>17</v>
      </c>
      <c r="D1048">
        <v>411.82</v>
      </c>
      <c r="E1048" t="s">
        <v>7</v>
      </c>
      <c r="F1048" s="2" t="str">
        <f t="shared" si="48"/>
        <v>Jul</v>
      </c>
      <c r="G1048" s="2">
        <f t="shared" si="49"/>
        <v>2023</v>
      </c>
      <c r="H1048" s="2">
        <f t="shared" si="50"/>
        <v>-411.82</v>
      </c>
    </row>
    <row r="1049" spans="1:8" x14ac:dyDescent="0.25">
      <c r="A1049" s="1">
        <v>45114</v>
      </c>
      <c r="B1049" t="s">
        <v>1064</v>
      </c>
      <c r="C1049" t="s">
        <v>9</v>
      </c>
      <c r="D1049">
        <v>1669.88</v>
      </c>
      <c r="E1049" t="s">
        <v>7</v>
      </c>
      <c r="F1049" s="2" t="str">
        <f t="shared" si="48"/>
        <v>Jul</v>
      </c>
      <c r="G1049" s="2">
        <f t="shared" si="49"/>
        <v>2023</v>
      </c>
      <c r="H1049" s="2">
        <f t="shared" si="50"/>
        <v>-1669.88</v>
      </c>
    </row>
    <row r="1050" spans="1:8" x14ac:dyDescent="0.25">
      <c r="A1050" s="1">
        <v>45114</v>
      </c>
      <c r="B1050" t="s">
        <v>1065</v>
      </c>
      <c r="C1050" t="s">
        <v>11</v>
      </c>
      <c r="D1050">
        <v>183.18</v>
      </c>
      <c r="E1050" t="s">
        <v>7</v>
      </c>
      <c r="F1050" s="2" t="str">
        <f t="shared" si="48"/>
        <v>Jul</v>
      </c>
      <c r="G1050" s="2">
        <f t="shared" si="49"/>
        <v>2023</v>
      </c>
      <c r="H1050" s="2">
        <f t="shared" si="50"/>
        <v>-183.18</v>
      </c>
    </row>
    <row r="1051" spans="1:8" x14ac:dyDescent="0.25">
      <c r="A1051" s="1">
        <v>45117</v>
      </c>
      <c r="B1051" t="s">
        <v>1066</v>
      </c>
      <c r="C1051" t="s">
        <v>25</v>
      </c>
      <c r="D1051">
        <v>1714.68</v>
      </c>
      <c r="E1051" t="s">
        <v>7</v>
      </c>
      <c r="F1051" s="2" t="str">
        <f t="shared" si="48"/>
        <v>Jul</v>
      </c>
      <c r="G1051" s="2">
        <f t="shared" si="49"/>
        <v>2023</v>
      </c>
      <c r="H1051" s="2">
        <f t="shared" si="50"/>
        <v>-1714.68</v>
      </c>
    </row>
    <row r="1052" spans="1:8" x14ac:dyDescent="0.25">
      <c r="A1052" s="1">
        <v>45117</v>
      </c>
      <c r="B1052" t="s">
        <v>1067</v>
      </c>
      <c r="C1052" t="s">
        <v>6</v>
      </c>
      <c r="D1052">
        <v>1575.24</v>
      </c>
      <c r="E1052" t="s">
        <v>7</v>
      </c>
      <c r="F1052" s="2" t="str">
        <f t="shared" si="48"/>
        <v>Jul</v>
      </c>
      <c r="G1052" s="2">
        <f t="shared" si="49"/>
        <v>2023</v>
      </c>
      <c r="H1052" s="2">
        <f t="shared" si="50"/>
        <v>-1575.24</v>
      </c>
    </row>
    <row r="1053" spans="1:8" x14ac:dyDescent="0.25">
      <c r="A1053" s="1">
        <v>45117</v>
      </c>
      <c r="B1053" t="s">
        <v>1068</v>
      </c>
      <c r="C1053" t="s">
        <v>17</v>
      </c>
      <c r="D1053">
        <v>233.91</v>
      </c>
      <c r="E1053" t="s">
        <v>7</v>
      </c>
      <c r="F1053" s="2" t="str">
        <f t="shared" si="48"/>
        <v>Jul</v>
      </c>
      <c r="G1053" s="2">
        <f t="shared" si="49"/>
        <v>2023</v>
      </c>
      <c r="H1053" s="2">
        <f t="shared" si="50"/>
        <v>-233.91</v>
      </c>
    </row>
    <row r="1054" spans="1:8" x14ac:dyDescent="0.25">
      <c r="A1054" s="1">
        <v>45117</v>
      </c>
      <c r="B1054" t="s">
        <v>1069</v>
      </c>
      <c r="C1054" t="s">
        <v>13</v>
      </c>
      <c r="D1054">
        <v>1365</v>
      </c>
      <c r="E1054" t="s">
        <v>14</v>
      </c>
      <c r="F1054" s="2" t="str">
        <f t="shared" si="48"/>
        <v>Jul</v>
      </c>
      <c r="G1054" s="2">
        <f t="shared" si="49"/>
        <v>2023</v>
      </c>
      <c r="H1054" s="2">
        <f t="shared" si="50"/>
        <v>1365</v>
      </c>
    </row>
    <row r="1055" spans="1:8" x14ac:dyDescent="0.25">
      <c r="A1055" s="1">
        <v>45118</v>
      </c>
      <c r="B1055" t="s">
        <v>1070</v>
      </c>
      <c r="C1055" t="s">
        <v>11</v>
      </c>
      <c r="D1055">
        <v>1573.63</v>
      </c>
      <c r="E1055" t="s">
        <v>7</v>
      </c>
      <c r="F1055" s="2" t="str">
        <f t="shared" si="48"/>
        <v>Jul</v>
      </c>
      <c r="G1055" s="2">
        <f t="shared" si="49"/>
        <v>2023</v>
      </c>
      <c r="H1055" s="2">
        <f t="shared" si="50"/>
        <v>-1573.63</v>
      </c>
    </row>
    <row r="1056" spans="1:8" x14ac:dyDescent="0.25">
      <c r="A1056" s="1">
        <v>45120</v>
      </c>
      <c r="B1056" t="s">
        <v>1071</v>
      </c>
      <c r="C1056" t="s">
        <v>25</v>
      </c>
      <c r="D1056">
        <v>1757.01</v>
      </c>
      <c r="E1056" t="s">
        <v>7</v>
      </c>
      <c r="F1056" s="2" t="str">
        <f t="shared" si="48"/>
        <v>Jul</v>
      </c>
      <c r="G1056" s="2">
        <f t="shared" si="49"/>
        <v>2023</v>
      </c>
      <c r="H1056" s="2">
        <f t="shared" si="50"/>
        <v>-1757.01</v>
      </c>
    </row>
    <row r="1057" spans="1:8" x14ac:dyDescent="0.25">
      <c r="A1057" s="1">
        <v>45122</v>
      </c>
      <c r="B1057" t="s">
        <v>1072</v>
      </c>
      <c r="C1057" t="s">
        <v>27</v>
      </c>
      <c r="D1057">
        <v>1148.33</v>
      </c>
      <c r="E1057" t="s">
        <v>7</v>
      </c>
      <c r="F1057" s="2" t="str">
        <f t="shared" si="48"/>
        <v>Jul</v>
      </c>
      <c r="G1057" s="2">
        <f t="shared" si="49"/>
        <v>2023</v>
      </c>
      <c r="H1057" s="2">
        <f t="shared" si="50"/>
        <v>-1148.33</v>
      </c>
    </row>
    <row r="1058" spans="1:8" x14ac:dyDescent="0.25">
      <c r="A1058" s="1">
        <v>45122</v>
      </c>
      <c r="B1058" t="s">
        <v>1073</v>
      </c>
      <c r="C1058" t="s">
        <v>9</v>
      </c>
      <c r="D1058">
        <v>558.07000000000005</v>
      </c>
      <c r="E1058" t="s">
        <v>7</v>
      </c>
      <c r="F1058" s="2" t="str">
        <f t="shared" si="48"/>
        <v>Jul</v>
      </c>
      <c r="G1058" s="2">
        <f t="shared" si="49"/>
        <v>2023</v>
      </c>
      <c r="H1058" s="2">
        <f t="shared" si="50"/>
        <v>-558.07000000000005</v>
      </c>
    </row>
    <row r="1059" spans="1:8" x14ac:dyDescent="0.25">
      <c r="A1059" s="1">
        <v>45122</v>
      </c>
      <c r="B1059" t="s">
        <v>1074</v>
      </c>
      <c r="C1059" t="s">
        <v>20</v>
      </c>
      <c r="D1059">
        <v>817</v>
      </c>
      <c r="E1059" t="s">
        <v>14</v>
      </c>
      <c r="F1059" s="2" t="str">
        <f t="shared" si="48"/>
        <v>Jul</v>
      </c>
      <c r="G1059" s="2">
        <f t="shared" si="49"/>
        <v>2023</v>
      </c>
      <c r="H1059" s="2">
        <f t="shared" si="50"/>
        <v>817</v>
      </c>
    </row>
    <row r="1060" spans="1:8" x14ac:dyDescent="0.25">
      <c r="A1060" s="1">
        <v>45122</v>
      </c>
      <c r="B1060" t="s">
        <v>1075</v>
      </c>
      <c r="C1060" t="s">
        <v>25</v>
      </c>
      <c r="D1060">
        <v>1384.12</v>
      </c>
      <c r="E1060" t="s">
        <v>7</v>
      </c>
      <c r="F1060" s="2" t="str">
        <f t="shared" si="48"/>
        <v>Jul</v>
      </c>
      <c r="G1060" s="2">
        <f t="shared" si="49"/>
        <v>2023</v>
      </c>
      <c r="H1060" s="2">
        <f t="shared" si="50"/>
        <v>-1384.12</v>
      </c>
    </row>
    <row r="1061" spans="1:8" x14ac:dyDescent="0.25">
      <c r="A1061" s="1">
        <v>45122</v>
      </c>
      <c r="B1061" t="s">
        <v>1076</v>
      </c>
      <c r="C1061" t="s">
        <v>20</v>
      </c>
      <c r="D1061">
        <v>2700</v>
      </c>
      <c r="E1061" t="s">
        <v>14</v>
      </c>
      <c r="F1061" s="2" t="str">
        <f t="shared" si="48"/>
        <v>Jul</v>
      </c>
      <c r="G1061" s="2">
        <f t="shared" si="49"/>
        <v>2023</v>
      </c>
      <c r="H1061" s="2">
        <f t="shared" si="50"/>
        <v>2700</v>
      </c>
    </row>
    <row r="1062" spans="1:8" x14ac:dyDescent="0.25">
      <c r="A1062" s="1">
        <v>45123</v>
      </c>
      <c r="B1062" t="s">
        <v>1077</v>
      </c>
      <c r="C1062" t="s">
        <v>6</v>
      </c>
      <c r="D1062">
        <v>682.35</v>
      </c>
      <c r="E1062" t="s">
        <v>7</v>
      </c>
      <c r="F1062" s="2" t="str">
        <f t="shared" si="48"/>
        <v>Jul</v>
      </c>
      <c r="G1062" s="2">
        <f t="shared" si="49"/>
        <v>2023</v>
      </c>
      <c r="H1062" s="2">
        <f t="shared" si="50"/>
        <v>-682.35</v>
      </c>
    </row>
    <row r="1063" spans="1:8" x14ac:dyDescent="0.25">
      <c r="A1063" s="1">
        <v>45124</v>
      </c>
      <c r="B1063" t="s">
        <v>1078</v>
      </c>
      <c r="C1063" t="s">
        <v>35</v>
      </c>
      <c r="D1063">
        <v>567.89</v>
      </c>
      <c r="E1063" t="s">
        <v>7</v>
      </c>
      <c r="F1063" s="2" t="str">
        <f t="shared" si="48"/>
        <v>Jul</v>
      </c>
      <c r="G1063" s="2">
        <f t="shared" si="49"/>
        <v>2023</v>
      </c>
      <c r="H1063" s="2">
        <f t="shared" si="50"/>
        <v>-567.89</v>
      </c>
    </row>
    <row r="1064" spans="1:8" x14ac:dyDescent="0.25">
      <c r="A1064" s="1">
        <v>45125</v>
      </c>
      <c r="B1064" t="s">
        <v>1079</v>
      </c>
      <c r="C1064" t="s">
        <v>11</v>
      </c>
      <c r="D1064">
        <v>1945.27</v>
      </c>
      <c r="E1064" t="s">
        <v>7</v>
      </c>
      <c r="F1064" s="2" t="str">
        <f t="shared" si="48"/>
        <v>Jul</v>
      </c>
      <c r="G1064" s="2">
        <f t="shared" si="49"/>
        <v>2023</v>
      </c>
      <c r="H1064" s="2">
        <f t="shared" si="50"/>
        <v>-1945.27</v>
      </c>
    </row>
    <row r="1065" spans="1:8" x14ac:dyDescent="0.25">
      <c r="A1065" s="1">
        <v>45126</v>
      </c>
      <c r="B1065" t="s">
        <v>1080</v>
      </c>
      <c r="C1065" t="s">
        <v>35</v>
      </c>
      <c r="D1065">
        <v>1948.7</v>
      </c>
      <c r="E1065" t="s">
        <v>7</v>
      </c>
      <c r="F1065" s="2" t="str">
        <f t="shared" si="48"/>
        <v>Jul</v>
      </c>
      <c r="G1065" s="2">
        <f t="shared" si="49"/>
        <v>2023</v>
      </c>
      <c r="H1065" s="2">
        <f t="shared" si="50"/>
        <v>-1948.7</v>
      </c>
    </row>
    <row r="1066" spans="1:8" x14ac:dyDescent="0.25">
      <c r="A1066" s="1">
        <v>45126</v>
      </c>
      <c r="B1066" t="s">
        <v>1081</v>
      </c>
      <c r="C1066" t="s">
        <v>25</v>
      </c>
      <c r="D1066">
        <v>546.15</v>
      </c>
      <c r="E1066" t="s">
        <v>7</v>
      </c>
      <c r="F1066" s="2" t="str">
        <f t="shared" si="48"/>
        <v>Jul</v>
      </c>
      <c r="G1066" s="2">
        <f t="shared" si="49"/>
        <v>2023</v>
      </c>
      <c r="H1066" s="2">
        <f t="shared" si="50"/>
        <v>-546.15</v>
      </c>
    </row>
    <row r="1067" spans="1:8" x14ac:dyDescent="0.25">
      <c r="A1067" s="1">
        <v>45127</v>
      </c>
      <c r="B1067" t="s">
        <v>1082</v>
      </c>
      <c r="C1067" t="s">
        <v>11</v>
      </c>
      <c r="D1067">
        <v>383.99</v>
      </c>
      <c r="E1067" t="s">
        <v>7</v>
      </c>
      <c r="F1067" s="2" t="str">
        <f t="shared" si="48"/>
        <v>Jul</v>
      </c>
      <c r="G1067" s="2">
        <f t="shared" si="49"/>
        <v>2023</v>
      </c>
      <c r="H1067" s="2">
        <f t="shared" si="50"/>
        <v>-383.99</v>
      </c>
    </row>
    <row r="1068" spans="1:8" x14ac:dyDescent="0.25">
      <c r="A1068" s="1">
        <v>45128</v>
      </c>
      <c r="B1068" t="s">
        <v>1083</v>
      </c>
      <c r="C1068" t="s">
        <v>17</v>
      </c>
      <c r="D1068">
        <v>1484.48</v>
      </c>
      <c r="E1068" t="s">
        <v>7</v>
      </c>
      <c r="F1068" s="2" t="str">
        <f t="shared" si="48"/>
        <v>Jul</v>
      </c>
      <c r="G1068" s="2">
        <f t="shared" si="49"/>
        <v>2023</v>
      </c>
      <c r="H1068" s="2">
        <f t="shared" si="50"/>
        <v>-1484.48</v>
      </c>
    </row>
    <row r="1069" spans="1:8" x14ac:dyDescent="0.25">
      <c r="A1069" s="1">
        <v>45130</v>
      </c>
      <c r="B1069" t="s">
        <v>1084</v>
      </c>
      <c r="C1069" t="s">
        <v>25</v>
      </c>
      <c r="D1069">
        <v>1643.82</v>
      </c>
      <c r="E1069" t="s">
        <v>7</v>
      </c>
      <c r="F1069" s="2" t="str">
        <f t="shared" si="48"/>
        <v>Jul</v>
      </c>
      <c r="G1069" s="2">
        <f t="shared" si="49"/>
        <v>2023</v>
      </c>
      <c r="H1069" s="2">
        <f t="shared" si="50"/>
        <v>-1643.82</v>
      </c>
    </row>
    <row r="1070" spans="1:8" x14ac:dyDescent="0.25">
      <c r="A1070" s="1">
        <v>45132</v>
      </c>
      <c r="B1070" t="s">
        <v>1085</v>
      </c>
      <c r="C1070" t="s">
        <v>9</v>
      </c>
      <c r="D1070">
        <v>140.58000000000001</v>
      </c>
      <c r="E1070" t="s">
        <v>7</v>
      </c>
      <c r="F1070" s="2" t="str">
        <f t="shared" si="48"/>
        <v>Jul</v>
      </c>
      <c r="G1070" s="2">
        <f t="shared" si="49"/>
        <v>2023</v>
      </c>
      <c r="H1070" s="2">
        <f t="shared" si="50"/>
        <v>-140.58000000000001</v>
      </c>
    </row>
    <row r="1071" spans="1:8" x14ac:dyDescent="0.25">
      <c r="A1071" s="1">
        <v>45133</v>
      </c>
      <c r="B1071" t="s">
        <v>1086</v>
      </c>
      <c r="C1071" t="s">
        <v>17</v>
      </c>
      <c r="D1071">
        <v>279.94</v>
      </c>
      <c r="E1071" t="s">
        <v>7</v>
      </c>
      <c r="F1071" s="2" t="str">
        <f t="shared" si="48"/>
        <v>Jul</v>
      </c>
      <c r="G1071" s="2">
        <f t="shared" si="49"/>
        <v>2023</v>
      </c>
      <c r="H1071" s="2">
        <f t="shared" si="50"/>
        <v>-279.94</v>
      </c>
    </row>
    <row r="1072" spans="1:8" x14ac:dyDescent="0.25">
      <c r="A1072" s="1">
        <v>45134</v>
      </c>
      <c r="B1072" t="s">
        <v>1087</v>
      </c>
      <c r="C1072" t="s">
        <v>6</v>
      </c>
      <c r="D1072">
        <v>355.74</v>
      </c>
      <c r="E1072" t="s">
        <v>7</v>
      </c>
      <c r="F1072" s="2" t="str">
        <f t="shared" si="48"/>
        <v>Jul</v>
      </c>
      <c r="G1072" s="2">
        <f t="shared" si="49"/>
        <v>2023</v>
      </c>
      <c r="H1072" s="2">
        <f t="shared" si="50"/>
        <v>-355.74</v>
      </c>
    </row>
    <row r="1073" spans="1:8" x14ac:dyDescent="0.25">
      <c r="A1073" s="1">
        <v>45134</v>
      </c>
      <c r="B1073" t="s">
        <v>1088</v>
      </c>
      <c r="C1073" t="s">
        <v>22</v>
      </c>
      <c r="D1073">
        <v>1675.58</v>
      </c>
      <c r="E1073" t="s">
        <v>7</v>
      </c>
      <c r="F1073" s="2" t="str">
        <f t="shared" si="48"/>
        <v>Jul</v>
      </c>
      <c r="G1073" s="2">
        <f t="shared" si="49"/>
        <v>2023</v>
      </c>
      <c r="H1073" s="2">
        <f t="shared" si="50"/>
        <v>-1675.58</v>
      </c>
    </row>
    <row r="1074" spans="1:8" x14ac:dyDescent="0.25">
      <c r="A1074" s="1">
        <v>45137</v>
      </c>
      <c r="B1074" t="s">
        <v>1089</v>
      </c>
      <c r="C1074" t="s">
        <v>27</v>
      </c>
      <c r="D1074">
        <v>110.61</v>
      </c>
      <c r="E1074" t="s">
        <v>7</v>
      </c>
      <c r="F1074" s="2" t="str">
        <f t="shared" si="48"/>
        <v>Jul</v>
      </c>
      <c r="G1074" s="2">
        <f t="shared" si="49"/>
        <v>2023</v>
      </c>
      <c r="H1074" s="2">
        <f t="shared" si="50"/>
        <v>-110.61</v>
      </c>
    </row>
    <row r="1075" spans="1:8" x14ac:dyDescent="0.25">
      <c r="A1075" s="1">
        <v>45139</v>
      </c>
      <c r="B1075" t="s">
        <v>1090</v>
      </c>
      <c r="C1075" t="s">
        <v>22</v>
      </c>
      <c r="D1075">
        <v>555.22</v>
      </c>
      <c r="E1075" t="s">
        <v>7</v>
      </c>
      <c r="F1075" s="2" t="str">
        <f t="shared" si="48"/>
        <v>Aug</v>
      </c>
      <c r="G1075" s="2">
        <f t="shared" si="49"/>
        <v>2023</v>
      </c>
      <c r="H1075" s="2">
        <f t="shared" si="50"/>
        <v>-555.22</v>
      </c>
    </row>
    <row r="1076" spans="1:8" x14ac:dyDescent="0.25">
      <c r="A1076" s="1">
        <v>45142</v>
      </c>
      <c r="B1076" t="s">
        <v>1091</v>
      </c>
      <c r="C1076" t="s">
        <v>17</v>
      </c>
      <c r="D1076">
        <v>1274.47</v>
      </c>
      <c r="E1076" t="s">
        <v>7</v>
      </c>
      <c r="F1076" s="2" t="str">
        <f t="shared" si="48"/>
        <v>Aug</v>
      </c>
      <c r="G1076" s="2">
        <f t="shared" si="49"/>
        <v>2023</v>
      </c>
      <c r="H1076" s="2">
        <f t="shared" si="50"/>
        <v>-1274.47</v>
      </c>
    </row>
    <row r="1077" spans="1:8" x14ac:dyDescent="0.25">
      <c r="A1077" s="1">
        <v>45143</v>
      </c>
      <c r="B1077" t="s">
        <v>1092</v>
      </c>
      <c r="C1077" t="s">
        <v>13</v>
      </c>
      <c r="D1077">
        <v>2481</v>
      </c>
      <c r="E1077" t="s">
        <v>14</v>
      </c>
      <c r="F1077" s="2" t="str">
        <f t="shared" si="48"/>
        <v>Aug</v>
      </c>
      <c r="G1077" s="2">
        <f t="shared" si="49"/>
        <v>2023</v>
      </c>
      <c r="H1077" s="2">
        <f t="shared" si="50"/>
        <v>2481</v>
      </c>
    </row>
    <row r="1078" spans="1:8" x14ac:dyDescent="0.25">
      <c r="A1078" s="1">
        <v>45145</v>
      </c>
      <c r="B1078" t="s">
        <v>1093</v>
      </c>
      <c r="C1078" t="s">
        <v>27</v>
      </c>
      <c r="D1078">
        <v>363.39</v>
      </c>
      <c r="E1078" t="s">
        <v>7</v>
      </c>
      <c r="F1078" s="2" t="str">
        <f t="shared" si="48"/>
        <v>Aug</v>
      </c>
      <c r="G1078" s="2">
        <f t="shared" si="49"/>
        <v>2023</v>
      </c>
      <c r="H1078" s="2">
        <f t="shared" si="50"/>
        <v>-363.39</v>
      </c>
    </row>
    <row r="1079" spans="1:8" x14ac:dyDescent="0.25">
      <c r="A1079" s="1">
        <v>45145</v>
      </c>
      <c r="B1079" t="s">
        <v>1094</v>
      </c>
      <c r="C1079" t="s">
        <v>25</v>
      </c>
      <c r="D1079">
        <v>695.06</v>
      </c>
      <c r="E1079" t="s">
        <v>7</v>
      </c>
      <c r="F1079" s="2" t="str">
        <f t="shared" si="48"/>
        <v>Aug</v>
      </c>
      <c r="G1079" s="2">
        <f t="shared" si="49"/>
        <v>2023</v>
      </c>
      <c r="H1079" s="2">
        <f t="shared" si="50"/>
        <v>-695.06</v>
      </c>
    </row>
    <row r="1080" spans="1:8" x14ac:dyDescent="0.25">
      <c r="A1080" s="1">
        <v>45147</v>
      </c>
      <c r="B1080" t="s">
        <v>1095</v>
      </c>
      <c r="C1080" t="s">
        <v>35</v>
      </c>
      <c r="D1080">
        <v>1500.43</v>
      </c>
      <c r="E1080" t="s">
        <v>7</v>
      </c>
      <c r="F1080" s="2" t="str">
        <f t="shared" si="48"/>
        <v>Aug</v>
      </c>
      <c r="G1080" s="2">
        <f t="shared" si="49"/>
        <v>2023</v>
      </c>
      <c r="H1080" s="2">
        <f t="shared" si="50"/>
        <v>-1500.43</v>
      </c>
    </row>
    <row r="1081" spans="1:8" x14ac:dyDescent="0.25">
      <c r="A1081" s="1">
        <v>45147</v>
      </c>
      <c r="B1081" t="s">
        <v>1096</v>
      </c>
      <c r="C1081" t="s">
        <v>35</v>
      </c>
      <c r="D1081">
        <v>64.63</v>
      </c>
      <c r="E1081" t="s">
        <v>7</v>
      </c>
      <c r="F1081" s="2" t="str">
        <f t="shared" si="48"/>
        <v>Aug</v>
      </c>
      <c r="G1081" s="2">
        <f t="shared" si="49"/>
        <v>2023</v>
      </c>
      <c r="H1081" s="2">
        <f t="shared" si="50"/>
        <v>-64.63</v>
      </c>
    </row>
    <row r="1082" spans="1:8" x14ac:dyDescent="0.25">
      <c r="A1082" s="1">
        <v>45148</v>
      </c>
      <c r="B1082" t="s">
        <v>1097</v>
      </c>
      <c r="C1082" t="s">
        <v>13</v>
      </c>
      <c r="D1082">
        <v>2313</v>
      </c>
      <c r="E1082" t="s">
        <v>14</v>
      </c>
      <c r="F1082" s="2" t="str">
        <f t="shared" si="48"/>
        <v>Aug</v>
      </c>
      <c r="G1082" s="2">
        <f t="shared" si="49"/>
        <v>2023</v>
      </c>
      <c r="H1082" s="2">
        <f t="shared" si="50"/>
        <v>2313</v>
      </c>
    </row>
    <row r="1083" spans="1:8" x14ac:dyDescent="0.25">
      <c r="A1083" s="1">
        <v>45148</v>
      </c>
      <c r="B1083" t="s">
        <v>1098</v>
      </c>
      <c r="C1083" t="s">
        <v>22</v>
      </c>
      <c r="D1083">
        <v>545.48</v>
      </c>
      <c r="E1083" t="s">
        <v>7</v>
      </c>
      <c r="F1083" s="2" t="str">
        <f t="shared" si="48"/>
        <v>Aug</v>
      </c>
      <c r="G1083" s="2">
        <f t="shared" si="49"/>
        <v>2023</v>
      </c>
      <c r="H1083" s="2">
        <f t="shared" si="50"/>
        <v>-545.48</v>
      </c>
    </row>
    <row r="1084" spans="1:8" x14ac:dyDescent="0.25">
      <c r="A1084" s="1">
        <v>45149</v>
      </c>
      <c r="B1084" t="s">
        <v>1099</v>
      </c>
      <c r="C1084" t="s">
        <v>6</v>
      </c>
      <c r="D1084">
        <v>1730.61</v>
      </c>
      <c r="E1084" t="s">
        <v>7</v>
      </c>
      <c r="F1084" s="2" t="str">
        <f t="shared" si="48"/>
        <v>Aug</v>
      </c>
      <c r="G1084" s="2">
        <f t="shared" si="49"/>
        <v>2023</v>
      </c>
      <c r="H1084" s="2">
        <f t="shared" si="50"/>
        <v>-1730.61</v>
      </c>
    </row>
    <row r="1085" spans="1:8" x14ac:dyDescent="0.25">
      <c r="A1085" s="1">
        <v>45154</v>
      </c>
      <c r="B1085" t="s">
        <v>1100</v>
      </c>
      <c r="C1085" t="s">
        <v>6</v>
      </c>
      <c r="D1085">
        <v>953.45</v>
      </c>
      <c r="E1085" t="s">
        <v>7</v>
      </c>
      <c r="F1085" s="2" t="str">
        <f t="shared" si="48"/>
        <v>Aug</v>
      </c>
      <c r="G1085" s="2">
        <f t="shared" si="49"/>
        <v>2023</v>
      </c>
      <c r="H1085" s="2">
        <f t="shared" si="50"/>
        <v>-953.45</v>
      </c>
    </row>
    <row r="1086" spans="1:8" x14ac:dyDescent="0.25">
      <c r="A1086" s="1">
        <v>45155</v>
      </c>
      <c r="B1086" t="s">
        <v>1101</v>
      </c>
      <c r="C1086" t="s">
        <v>13</v>
      </c>
      <c r="D1086">
        <v>569</v>
      </c>
      <c r="E1086" t="s">
        <v>14</v>
      </c>
      <c r="F1086" s="2" t="str">
        <f t="shared" si="48"/>
        <v>Aug</v>
      </c>
      <c r="G1086" s="2">
        <f t="shared" si="49"/>
        <v>2023</v>
      </c>
      <c r="H1086" s="2">
        <f t="shared" si="50"/>
        <v>569</v>
      </c>
    </row>
    <row r="1087" spans="1:8" x14ac:dyDescent="0.25">
      <c r="A1087" s="1">
        <v>45155</v>
      </c>
      <c r="B1087" t="s">
        <v>1102</v>
      </c>
      <c r="C1087" t="s">
        <v>35</v>
      </c>
      <c r="D1087">
        <v>1428.35</v>
      </c>
      <c r="E1087" t="s">
        <v>7</v>
      </c>
      <c r="F1087" s="2" t="str">
        <f t="shared" si="48"/>
        <v>Aug</v>
      </c>
      <c r="G1087" s="2">
        <f t="shared" si="49"/>
        <v>2023</v>
      </c>
      <c r="H1087" s="2">
        <f t="shared" si="50"/>
        <v>-1428.35</v>
      </c>
    </row>
    <row r="1088" spans="1:8" x14ac:dyDescent="0.25">
      <c r="A1088" s="1">
        <v>45159</v>
      </c>
      <c r="B1088" t="s">
        <v>1103</v>
      </c>
      <c r="C1088" t="s">
        <v>35</v>
      </c>
      <c r="D1088">
        <v>853.38</v>
      </c>
      <c r="E1088" t="s">
        <v>7</v>
      </c>
      <c r="F1088" s="2" t="str">
        <f t="shared" si="48"/>
        <v>Aug</v>
      </c>
      <c r="G1088" s="2">
        <f t="shared" si="49"/>
        <v>2023</v>
      </c>
      <c r="H1088" s="2">
        <f t="shared" si="50"/>
        <v>-853.38</v>
      </c>
    </row>
    <row r="1089" spans="1:8" x14ac:dyDescent="0.25">
      <c r="A1089" s="1">
        <v>45160</v>
      </c>
      <c r="B1089" t="s">
        <v>1104</v>
      </c>
      <c r="C1089" t="s">
        <v>25</v>
      </c>
      <c r="D1089">
        <v>923.41</v>
      </c>
      <c r="E1089" t="s">
        <v>7</v>
      </c>
      <c r="F1089" s="2" t="str">
        <f t="shared" si="48"/>
        <v>Aug</v>
      </c>
      <c r="G1089" s="2">
        <f t="shared" si="49"/>
        <v>2023</v>
      </c>
      <c r="H1089" s="2">
        <f t="shared" si="50"/>
        <v>-923.41</v>
      </c>
    </row>
    <row r="1090" spans="1:8" x14ac:dyDescent="0.25">
      <c r="A1090" s="1">
        <v>45161</v>
      </c>
      <c r="B1090" t="s">
        <v>1105</v>
      </c>
      <c r="C1090" t="s">
        <v>35</v>
      </c>
      <c r="D1090">
        <v>1357.62</v>
      </c>
      <c r="E1090" t="s">
        <v>7</v>
      </c>
      <c r="F1090" s="2" t="str">
        <f t="shared" ref="F1090:F1153" si="51">TEXT(A1090,"mmm")</f>
        <v>Aug</v>
      </c>
      <c r="G1090" s="2">
        <f t="shared" ref="G1090:G1153" si="52">YEAR(A1090)</f>
        <v>2023</v>
      </c>
      <c r="H1090" s="2">
        <f t="shared" ref="H1090:H1153" si="53">IF(E1090="Income",D1090,-D1090)</f>
        <v>-1357.62</v>
      </c>
    </row>
    <row r="1091" spans="1:8" x14ac:dyDescent="0.25">
      <c r="A1091" s="1">
        <v>45163</v>
      </c>
      <c r="B1091" t="s">
        <v>1106</v>
      </c>
      <c r="C1091" t="s">
        <v>17</v>
      </c>
      <c r="D1091">
        <v>1173.1300000000001</v>
      </c>
      <c r="E1091" t="s">
        <v>7</v>
      </c>
      <c r="F1091" s="2" t="str">
        <f t="shared" si="51"/>
        <v>Aug</v>
      </c>
      <c r="G1091" s="2">
        <f t="shared" si="52"/>
        <v>2023</v>
      </c>
      <c r="H1091" s="2">
        <f t="shared" si="53"/>
        <v>-1173.1300000000001</v>
      </c>
    </row>
    <row r="1092" spans="1:8" x14ac:dyDescent="0.25">
      <c r="A1092" s="1">
        <v>45165</v>
      </c>
      <c r="B1092" t="s">
        <v>1107</v>
      </c>
      <c r="C1092" t="s">
        <v>20</v>
      </c>
      <c r="D1092">
        <v>2815</v>
      </c>
      <c r="E1092" t="s">
        <v>14</v>
      </c>
      <c r="F1092" s="2" t="str">
        <f t="shared" si="51"/>
        <v>Aug</v>
      </c>
      <c r="G1092" s="2">
        <f t="shared" si="52"/>
        <v>2023</v>
      </c>
      <c r="H1092" s="2">
        <f t="shared" si="53"/>
        <v>2815</v>
      </c>
    </row>
    <row r="1093" spans="1:8" x14ac:dyDescent="0.25">
      <c r="A1093" s="1">
        <v>45168</v>
      </c>
      <c r="B1093" t="s">
        <v>1108</v>
      </c>
      <c r="C1093" t="s">
        <v>11</v>
      </c>
      <c r="D1093">
        <v>968.66</v>
      </c>
      <c r="E1093" t="s">
        <v>7</v>
      </c>
      <c r="F1093" s="2" t="str">
        <f t="shared" si="51"/>
        <v>Aug</v>
      </c>
      <c r="G1093" s="2">
        <f t="shared" si="52"/>
        <v>2023</v>
      </c>
      <c r="H1093" s="2">
        <f t="shared" si="53"/>
        <v>-968.66</v>
      </c>
    </row>
    <row r="1094" spans="1:8" x14ac:dyDescent="0.25">
      <c r="A1094" s="1">
        <v>45168</v>
      </c>
      <c r="B1094" t="s">
        <v>1109</v>
      </c>
      <c r="C1094" t="s">
        <v>35</v>
      </c>
      <c r="D1094">
        <v>1284.78</v>
      </c>
      <c r="E1094" t="s">
        <v>7</v>
      </c>
      <c r="F1094" s="2" t="str">
        <f t="shared" si="51"/>
        <v>Aug</v>
      </c>
      <c r="G1094" s="2">
        <f t="shared" si="52"/>
        <v>2023</v>
      </c>
      <c r="H1094" s="2">
        <f t="shared" si="53"/>
        <v>-1284.78</v>
      </c>
    </row>
    <row r="1095" spans="1:8" x14ac:dyDescent="0.25">
      <c r="A1095" s="1">
        <v>45168</v>
      </c>
      <c r="B1095" t="s">
        <v>1110</v>
      </c>
      <c r="C1095" t="s">
        <v>35</v>
      </c>
      <c r="D1095">
        <v>1315.68</v>
      </c>
      <c r="E1095" t="s">
        <v>7</v>
      </c>
      <c r="F1095" s="2" t="str">
        <f t="shared" si="51"/>
        <v>Aug</v>
      </c>
      <c r="G1095" s="2">
        <f t="shared" si="52"/>
        <v>2023</v>
      </c>
      <c r="H1095" s="2">
        <f t="shared" si="53"/>
        <v>-1315.68</v>
      </c>
    </row>
    <row r="1096" spans="1:8" x14ac:dyDescent="0.25">
      <c r="A1096" s="1">
        <v>45168</v>
      </c>
      <c r="B1096" t="s">
        <v>1111</v>
      </c>
      <c r="C1096" t="s">
        <v>35</v>
      </c>
      <c r="D1096">
        <v>384.84</v>
      </c>
      <c r="E1096" t="s">
        <v>7</v>
      </c>
      <c r="F1096" s="2" t="str">
        <f t="shared" si="51"/>
        <v>Aug</v>
      </c>
      <c r="G1096" s="2">
        <f t="shared" si="52"/>
        <v>2023</v>
      </c>
      <c r="H1096" s="2">
        <f t="shared" si="53"/>
        <v>-384.84</v>
      </c>
    </row>
    <row r="1097" spans="1:8" x14ac:dyDescent="0.25">
      <c r="A1097" s="1">
        <v>45170</v>
      </c>
      <c r="B1097" t="s">
        <v>1112</v>
      </c>
      <c r="C1097" t="s">
        <v>22</v>
      </c>
      <c r="D1097">
        <v>1800.38</v>
      </c>
      <c r="E1097" t="s">
        <v>7</v>
      </c>
      <c r="F1097" s="2" t="str">
        <f t="shared" si="51"/>
        <v>Sep</v>
      </c>
      <c r="G1097" s="2">
        <f t="shared" si="52"/>
        <v>2023</v>
      </c>
      <c r="H1097" s="2">
        <f t="shared" si="53"/>
        <v>-1800.38</v>
      </c>
    </row>
    <row r="1098" spans="1:8" x14ac:dyDescent="0.25">
      <c r="A1098" s="1">
        <v>45170</v>
      </c>
      <c r="B1098" t="s">
        <v>1113</v>
      </c>
      <c r="C1098" t="s">
        <v>17</v>
      </c>
      <c r="D1098">
        <v>1324.46</v>
      </c>
      <c r="E1098" t="s">
        <v>7</v>
      </c>
      <c r="F1098" s="2" t="str">
        <f t="shared" si="51"/>
        <v>Sep</v>
      </c>
      <c r="G1098" s="2">
        <f t="shared" si="52"/>
        <v>2023</v>
      </c>
      <c r="H1098" s="2">
        <f t="shared" si="53"/>
        <v>-1324.46</v>
      </c>
    </row>
    <row r="1099" spans="1:8" x14ac:dyDescent="0.25">
      <c r="A1099" s="1">
        <v>45172</v>
      </c>
      <c r="B1099" t="s">
        <v>1114</v>
      </c>
      <c r="C1099" t="s">
        <v>6</v>
      </c>
      <c r="D1099">
        <v>1314.25</v>
      </c>
      <c r="E1099" t="s">
        <v>7</v>
      </c>
      <c r="F1099" s="2" t="str">
        <f t="shared" si="51"/>
        <v>Sep</v>
      </c>
      <c r="G1099" s="2">
        <f t="shared" si="52"/>
        <v>2023</v>
      </c>
      <c r="H1099" s="2">
        <f t="shared" si="53"/>
        <v>-1314.25</v>
      </c>
    </row>
    <row r="1100" spans="1:8" x14ac:dyDescent="0.25">
      <c r="A1100" s="1">
        <v>45173</v>
      </c>
      <c r="B1100" t="s">
        <v>1115</v>
      </c>
      <c r="C1100" t="s">
        <v>35</v>
      </c>
      <c r="D1100">
        <v>1814.75</v>
      </c>
      <c r="E1100" t="s">
        <v>7</v>
      </c>
      <c r="F1100" s="2" t="str">
        <f t="shared" si="51"/>
        <v>Sep</v>
      </c>
      <c r="G1100" s="2">
        <f t="shared" si="52"/>
        <v>2023</v>
      </c>
      <c r="H1100" s="2">
        <f t="shared" si="53"/>
        <v>-1814.75</v>
      </c>
    </row>
    <row r="1101" spans="1:8" x14ac:dyDescent="0.25">
      <c r="A1101" s="1">
        <v>45173</v>
      </c>
      <c r="B1101" t="s">
        <v>1116</v>
      </c>
      <c r="C1101" t="s">
        <v>6</v>
      </c>
      <c r="D1101">
        <v>1170.22</v>
      </c>
      <c r="E1101" t="s">
        <v>7</v>
      </c>
      <c r="F1101" s="2" t="str">
        <f t="shared" si="51"/>
        <v>Sep</v>
      </c>
      <c r="G1101" s="2">
        <f t="shared" si="52"/>
        <v>2023</v>
      </c>
      <c r="H1101" s="2">
        <f t="shared" si="53"/>
        <v>-1170.22</v>
      </c>
    </row>
    <row r="1102" spans="1:8" x14ac:dyDescent="0.25">
      <c r="A1102" s="1">
        <v>45173</v>
      </c>
      <c r="B1102" t="s">
        <v>1117</v>
      </c>
      <c r="C1102" t="s">
        <v>22</v>
      </c>
      <c r="D1102">
        <v>692.9</v>
      </c>
      <c r="E1102" t="s">
        <v>7</v>
      </c>
      <c r="F1102" s="2" t="str">
        <f t="shared" si="51"/>
        <v>Sep</v>
      </c>
      <c r="G1102" s="2">
        <f t="shared" si="52"/>
        <v>2023</v>
      </c>
      <c r="H1102" s="2">
        <f t="shared" si="53"/>
        <v>-692.9</v>
      </c>
    </row>
    <row r="1103" spans="1:8" x14ac:dyDescent="0.25">
      <c r="A1103" s="1">
        <v>45176</v>
      </c>
      <c r="B1103" t="s">
        <v>1118</v>
      </c>
      <c r="C1103" t="s">
        <v>27</v>
      </c>
      <c r="D1103">
        <v>1813.99</v>
      </c>
      <c r="E1103" t="s">
        <v>7</v>
      </c>
      <c r="F1103" s="2" t="str">
        <f t="shared" si="51"/>
        <v>Sep</v>
      </c>
      <c r="G1103" s="2">
        <f t="shared" si="52"/>
        <v>2023</v>
      </c>
      <c r="H1103" s="2">
        <f t="shared" si="53"/>
        <v>-1813.99</v>
      </c>
    </row>
    <row r="1104" spans="1:8" x14ac:dyDescent="0.25">
      <c r="A1104" s="1">
        <v>45179</v>
      </c>
      <c r="B1104" t="s">
        <v>1119</v>
      </c>
      <c r="C1104" t="s">
        <v>35</v>
      </c>
      <c r="D1104">
        <v>1692.38</v>
      </c>
      <c r="E1104" t="s">
        <v>7</v>
      </c>
      <c r="F1104" s="2" t="str">
        <f t="shared" si="51"/>
        <v>Sep</v>
      </c>
      <c r="G1104" s="2">
        <f t="shared" si="52"/>
        <v>2023</v>
      </c>
      <c r="H1104" s="2">
        <f t="shared" si="53"/>
        <v>-1692.38</v>
      </c>
    </row>
    <row r="1105" spans="1:8" x14ac:dyDescent="0.25">
      <c r="A1105" s="1">
        <v>45180</v>
      </c>
      <c r="B1105" t="s">
        <v>1120</v>
      </c>
      <c r="C1105" t="s">
        <v>9</v>
      </c>
      <c r="D1105">
        <v>594.63</v>
      </c>
      <c r="E1105" t="s">
        <v>7</v>
      </c>
      <c r="F1105" s="2" t="str">
        <f t="shared" si="51"/>
        <v>Sep</v>
      </c>
      <c r="G1105" s="2">
        <f t="shared" si="52"/>
        <v>2023</v>
      </c>
      <c r="H1105" s="2">
        <f t="shared" si="53"/>
        <v>-594.63</v>
      </c>
    </row>
    <row r="1106" spans="1:8" x14ac:dyDescent="0.25">
      <c r="A1106" s="1">
        <v>45180</v>
      </c>
      <c r="B1106" t="s">
        <v>1121</v>
      </c>
      <c r="C1106" t="s">
        <v>35</v>
      </c>
      <c r="D1106">
        <v>1453.12</v>
      </c>
      <c r="E1106" t="s">
        <v>7</v>
      </c>
      <c r="F1106" s="2" t="str">
        <f t="shared" si="51"/>
        <v>Sep</v>
      </c>
      <c r="G1106" s="2">
        <f t="shared" si="52"/>
        <v>2023</v>
      </c>
      <c r="H1106" s="2">
        <f t="shared" si="53"/>
        <v>-1453.12</v>
      </c>
    </row>
    <row r="1107" spans="1:8" x14ac:dyDescent="0.25">
      <c r="A1107" s="1">
        <v>45181</v>
      </c>
      <c r="B1107" t="s">
        <v>1122</v>
      </c>
      <c r="C1107" t="s">
        <v>9</v>
      </c>
      <c r="D1107">
        <v>1894.38</v>
      </c>
      <c r="E1107" t="s">
        <v>7</v>
      </c>
      <c r="F1107" s="2" t="str">
        <f t="shared" si="51"/>
        <v>Sep</v>
      </c>
      <c r="G1107" s="2">
        <f t="shared" si="52"/>
        <v>2023</v>
      </c>
      <c r="H1107" s="2">
        <f t="shared" si="53"/>
        <v>-1894.38</v>
      </c>
    </row>
    <row r="1108" spans="1:8" x14ac:dyDescent="0.25">
      <c r="A1108" s="1">
        <v>45181</v>
      </c>
      <c r="B1108" t="s">
        <v>1123</v>
      </c>
      <c r="C1108" t="s">
        <v>11</v>
      </c>
      <c r="D1108">
        <v>452.28</v>
      </c>
      <c r="E1108" t="s">
        <v>7</v>
      </c>
      <c r="F1108" s="2" t="str">
        <f t="shared" si="51"/>
        <v>Sep</v>
      </c>
      <c r="G1108" s="2">
        <f t="shared" si="52"/>
        <v>2023</v>
      </c>
      <c r="H1108" s="2">
        <f t="shared" si="53"/>
        <v>-452.28</v>
      </c>
    </row>
    <row r="1109" spans="1:8" x14ac:dyDescent="0.25">
      <c r="A1109" s="1">
        <v>45182</v>
      </c>
      <c r="B1109" t="s">
        <v>1124</v>
      </c>
      <c r="C1109" t="s">
        <v>35</v>
      </c>
      <c r="D1109">
        <v>846.74</v>
      </c>
      <c r="E1109" t="s">
        <v>7</v>
      </c>
      <c r="F1109" s="2" t="str">
        <f t="shared" si="51"/>
        <v>Sep</v>
      </c>
      <c r="G1109" s="2">
        <f t="shared" si="52"/>
        <v>2023</v>
      </c>
      <c r="H1109" s="2">
        <f t="shared" si="53"/>
        <v>-846.74</v>
      </c>
    </row>
    <row r="1110" spans="1:8" x14ac:dyDescent="0.25">
      <c r="A1110" s="1">
        <v>45183</v>
      </c>
      <c r="B1110" t="s">
        <v>1125</v>
      </c>
      <c r="C1110" t="s">
        <v>25</v>
      </c>
      <c r="D1110">
        <v>528.51</v>
      </c>
      <c r="E1110" t="s">
        <v>7</v>
      </c>
      <c r="F1110" s="2" t="str">
        <f t="shared" si="51"/>
        <v>Sep</v>
      </c>
      <c r="G1110" s="2">
        <f t="shared" si="52"/>
        <v>2023</v>
      </c>
      <c r="H1110" s="2">
        <f t="shared" si="53"/>
        <v>-528.51</v>
      </c>
    </row>
    <row r="1111" spans="1:8" x14ac:dyDescent="0.25">
      <c r="A1111" s="1">
        <v>45183</v>
      </c>
      <c r="B1111" t="s">
        <v>1126</v>
      </c>
      <c r="C1111" t="s">
        <v>11</v>
      </c>
      <c r="D1111">
        <v>946.37</v>
      </c>
      <c r="E1111" t="s">
        <v>7</v>
      </c>
      <c r="F1111" s="2" t="str">
        <f t="shared" si="51"/>
        <v>Sep</v>
      </c>
      <c r="G1111" s="2">
        <f t="shared" si="52"/>
        <v>2023</v>
      </c>
      <c r="H1111" s="2">
        <f t="shared" si="53"/>
        <v>-946.37</v>
      </c>
    </row>
    <row r="1112" spans="1:8" x14ac:dyDescent="0.25">
      <c r="A1112" s="1">
        <v>45183</v>
      </c>
      <c r="B1112" t="s">
        <v>1127</v>
      </c>
      <c r="C1112" t="s">
        <v>11</v>
      </c>
      <c r="D1112">
        <v>949.72</v>
      </c>
      <c r="E1112" t="s">
        <v>7</v>
      </c>
      <c r="F1112" s="2" t="str">
        <f t="shared" si="51"/>
        <v>Sep</v>
      </c>
      <c r="G1112" s="2">
        <f t="shared" si="52"/>
        <v>2023</v>
      </c>
      <c r="H1112" s="2">
        <f t="shared" si="53"/>
        <v>-949.72</v>
      </c>
    </row>
    <row r="1113" spans="1:8" x14ac:dyDescent="0.25">
      <c r="A1113" s="1">
        <v>45184</v>
      </c>
      <c r="B1113" t="s">
        <v>1128</v>
      </c>
      <c r="C1113" t="s">
        <v>13</v>
      </c>
      <c r="D1113">
        <v>3626</v>
      </c>
      <c r="E1113" t="s">
        <v>14</v>
      </c>
      <c r="F1113" s="2" t="str">
        <f t="shared" si="51"/>
        <v>Sep</v>
      </c>
      <c r="G1113" s="2">
        <f t="shared" si="52"/>
        <v>2023</v>
      </c>
      <c r="H1113" s="2">
        <f t="shared" si="53"/>
        <v>3626</v>
      </c>
    </row>
    <row r="1114" spans="1:8" x14ac:dyDescent="0.25">
      <c r="A1114" s="1">
        <v>45184</v>
      </c>
      <c r="B1114" t="s">
        <v>1129</v>
      </c>
      <c r="C1114" t="s">
        <v>17</v>
      </c>
      <c r="D1114">
        <v>117.58</v>
      </c>
      <c r="E1114" t="s">
        <v>7</v>
      </c>
      <c r="F1114" s="2" t="str">
        <f t="shared" si="51"/>
        <v>Sep</v>
      </c>
      <c r="G1114" s="2">
        <f t="shared" si="52"/>
        <v>2023</v>
      </c>
      <c r="H1114" s="2">
        <f t="shared" si="53"/>
        <v>-117.58</v>
      </c>
    </row>
    <row r="1115" spans="1:8" x14ac:dyDescent="0.25">
      <c r="A1115" s="1">
        <v>45185</v>
      </c>
      <c r="B1115" t="s">
        <v>1130</v>
      </c>
      <c r="C1115" t="s">
        <v>9</v>
      </c>
      <c r="D1115">
        <v>1984.77</v>
      </c>
      <c r="E1115" t="s">
        <v>7</v>
      </c>
      <c r="F1115" s="2" t="str">
        <f t="shared" si="51"/>
        <v>Sep</v>
      </c>
      <c r="G1115" s="2">
        <f t="shared" si="52"/>
        <v>2023</v>
      </c>
      <c r="H1115" s="2">
        <f t="shared" si="53"/>
        <v>-1984.77</v>
      </c>
    </row>
    <row r="1116" spans="1:8" x14ac:dyDescent="0.25">
      <c r="A1116" s="1">
        <v>45185</v>
      </c>
      <c r="B1116" t="s">
        <v>1131</v>
      </c>
      <c r="C1116" t="s">
        <v>27</v>
      </c>
      <c r="D1116">
        <v>295.02</v>
      </c>
      <c r="E1116" t="s">
        <v>7</v>
      </c>
      <c r="F1116" s="2" t="str">
        <f t="shared" si="51"/>
        <v>Sep</v>
      </c>
      <c r="G1116" s="2">
        <f t="shared" si="52"/>
        <v>2023</v>
      </c>
      <c r="H1116" s="2">
        <f t="shared" si="53"/>
        <v>-295.02</v>
      </c>
    </row>
    <row r="1117" spans="1:8" x14ac:dyDescent="0.25">
      <c r="A1117" s="1">
        <v>45190</v>
      </c>
      <c r="B1117" t="s">
        <v>1132</v>
      </c>
      <c r="C1117" t="s">
        <v>9</v>
      </c>
      <c r="D1117">
        <v>1560.09</v>
      </c>
      <c r="E1117" t="s">
        <v>7</v>
      </c>
      <c r="F1117" s="2" t="str">
        <f t="shared" si="51"/>
        <v>Sep</v>
      </c>
      <c r="G1117" s="2">
        <f t="shared" si="52"/>
        <v>2023</v>
      </c>
      <c r="H1117" s="2">
        <f t="shared" si="53"/>
        <v>-1560.09</v>
      </c>
    </row>
    <row r="1118" spans="1:8" x14ac:dyDescent="0.25">
      <c r="A1118" s="1">
        <v>45190</v>
      </c>
      <c r="B1118" t="s">
        <v>1133</v>
      </c>
      <c r="C1118" t="s">
        <v>9</v>
      </c>
      <c r="D1118">
        <v>633.69000000000005</v>
      </c>
      <c r="E1118" t="s">
        <v>7</v>
      </c>
      <c r="F1118" s="2" t="str">
        <f t="shared" si="51"/>
        <v>Sep</v>
      </c>
      <c r="G1118" s="2">
        <f t="shared" si="52"/>
        <v>2023</v>
      </c>
      <c r="H1118" s="2">
        <f t="shared" si="53"/>
        <v>-633.69000000000005</v>
      </c>
    </row>
    <row r="1119" spans="1:8" x14ac:dyDescent="0.25">
      <c r="A1119" s="1">
        <v>45192</v>
      </c>
      <c r="B1119" t="s">
        <v>1134</v>
      </c>
      <c r="C1119" t="s">
        <v>20</v>
      </c>
      <c r="D1119">
        <v>2740</v>
      </c>
      <c r="E1119" t="s">
        <v>14</v>
      </c>
      <c r="F1119" s="2" t="str">
        <f t="shared" si="51"/>
        <v>Sep</v>
      </c>
      <c r="G1119" s="2">
        <f t="shared" si="52"/>
        <v>2023</v>
      </c>
      <c r="H1119" s="2">
        <f t="shared" si="53"/>
        <v>2740</v>
      </c>
    </row>
    <row r="1120" spans="1:8" x14ac:dyDescent="0.25">
      <c r="A1120" s="1">
        <v>45193</v>
      </c>
      <c r="B1120" t="s">
        <v>1135</v>
      </c>
      <c r="C1120" t="s">
        <v>9</v>
      </c>
      <c r="D1120">
        <v>1156.8</v>
      </c>
      <c r="E1120" t="s">
        <v>7</v>
      </c>
      <c r="F1120" s="2" t="str">
        <f t="shared" si="51"/>
        <v>Sep</v>
      </c>
      <c r="G1120" s="2">
        <f t="shared" si="52"/>
        <v>2023</v>
      </c>
      <c r="H1120" s="2">
        <f t="shared" si="53"/>
        <v>-1156.8</v>
      </c>
    </row>
    <row r="1121" spans="1:8" x14ac:dyDescent="0.25">
      <c r="A1121" s="1">
        <v>45197</v>
      </c>
      <c r="B1121" t="s">
        <v>1136</v>
      </c>
      <c r="C1121" t="s">
        <v>13</v>
      </c>
      <c r="D1121">
        <v>1560</v>
      </c>
      <c r="E1121" t="s">
        <v>14</v>
      </c>
      <c r="F1121" s="2" t="str">
        <f t="shared" si="51"/>
        <v>Sep</v>
      </c>
      <c r="G1121" s="2">
        <f t="shared" si="52"/>
        <v>2023</v>
      </c>
      <c r="H1121" s="2">
        <f t="shared" si="53"/>
        <v>1560</v>
      </c>
    </row>
    <row r="1122" spans="1:8" x14ac:dyDescent="0.25">
      <c r="A1122" s="1">
        <v>45198</v>
      </c>
      <c r="B1122" t="s">
        <v>1137</v>
      </c>
      <c r="C1122" t="s">
        <v>17</v>
      </c>
      <c r="D1122">
        <v>812.75</v>
      </c>
      <c r="E1122" t="s">
        <v>7</v>
      </c>
      <c r="F1122" s="2" t="str">
        <f t="shared" si="51"/>
        <v>Sep</v>
      </c>
      <c r="G1122" s="2">
        <f t="shared" si="52"/>
        <v>2023</v>
      </c>
      <c r="H1122" s="2">
        <f t="shared" si="53"/>
        <v>-812.75</v>
      </c>
    </row>
    <row r="1123" spans="1:8" x14ac:dyDescent="0.25">
      <c r="A1123" s="1">
        <v>45202</v>
      </c>
      <c r="B1123" t="s">
        <v>1138</v>
      </c>
      <c r="C1123" t="s">
        <v>17</v>
      </c>
      <c r="D1123">
        <v>19.29</v>
      </c>
      <c r="E1123" t="s">
        <v>7</v>
      </c>
      <c r="F1123" s="2" t="str">
        <f t="shared" si="51"/>
        <v>Oct</v>
      </c>
      <c r="G1123" s="2">
        <f t="shared" si="52"/>
        <v>2023</v>
      </c>
      <c r="H1123" s="2">
        <f t="shared" si="53"/>
        <v>-19.29</v>
      </c>
    </row>
    <row r="1124" spans="1:8" x14ac:dyDescent="0.25">
      <c r="A1124" s="1">
        <v>45203</v>
      </c>
      <c r="B1124" t="s">
        <v>1139</v>
      </c>
      <c r="C1124" t="s">
        <v>25</v>
      </c>
      <c r="D1124">
        <v>1900.64</v>
      </c>
      <c r="E1124" t="s">
        <v>7</v>
      </c>
      <c r="F1124" s="2" t="str">
        <f t="shared" si="51"/>
        <v>Oct</v>
      </c>
      <c r="G1124" s="2">
        <f t="shared" si="52"/>
        <v>2023</v>
      </c>
      <c r="H1124" s="2">
        <f t="shared" si="53"/>
        <v>-1900.64</v>
      </c>
    </row>
    <row r="1125" spans="1:8" x14ac:dyDescent="0.25">
      <c r="A1125" s="1">
        <v>45203</v>
      </c>
      <c r="B1125" t="s">
        <v>1140</v>
      </c>
      <c r="C1125" t="s">
        <v>22</v>
      </c>
      <c r="D1125">
        <v>45.65</v>
      </c>
      <c r="E1125" t="s">
        <v>7</v>
      </c>
      <c r="F1125" s="2" t="str">
        <f t="shared" si="51"/>
        <v>Oct</v>
      </c>
      <c r="G1125" s="2">
        <f t="shared" si="52"/>
        <v>2023</v>
      </c>
      <c r="H1125" s="2">
        <f t="shared" si="53"/>
        <v>-45.65</v>
      </c>
    </row>
    <row r="1126" spans="1:8" x14ac:dyDescent="0.25">
      <c r="A1126" s="1">
        <v>45204</v>
      </c>
      <c r="B1126" t="s">
        <v>1141</v>
      </c>
      <c r="C1126" t="s">
        <v>13</v>
      </c>
      <c r="D1126">
        <v>2353</v>
      </c>
      <c r="E1126" t="s">
        <v>14</v>
      </c>
      <c r="F1126" s="2" t="str">
        <f t="shared" si="51"/>
        <v>Oct</v>
      </c>
      <c r="G1126" s="2">
        <f t="shared" si="52"/>
        <v>2023</v>
      </c>
      <c r="H1126" s="2">
        <f t="shared" si="53"/>
        <v>2353</v>
      </c>
    </row>
    <row r="1127" spans="1:8" x14ac:dyDescent="0.25">
      <c r="A1127" s="1">
        <v>45205</v>
      </c>
      <c r="B1127" t="s">
        <v>1142</v>
      </c>
      <c r="C1127" t="s">
        <v>25</v>
      </c>
      <c r="D1127">
        <v>631.05999999999995</v>
      </c>
      <c r="E1127" t="s">
        <v>7</v>
      </c>
      <c r="F1127" s="2" t="str">
        <f t="shared" si="51"/>
        <v>Oct</v>
      </c>
      <c r="G1127" s="2">
        <f t="shared" si="52"/>
        <v>2023</v>
      </c>
      <c r="H1127" s="2">
        <f t="shared" si="53"/>
        <v>-631.05999999999995</v>
      </c>
    </row>
    <row r="1128" spans="1:8" x14ac:dyDescent="0.25">
      <c r="A1128" s="1">
        <v>45207</v>
      </c>
      <c r="B1128" t="s">
        <v>1143</v>
      </c>
      <c r="C1128" t="s">
        <v>20</v>
      </c>
      <c r="D1128">
        <v>1868</v>
      </c>
      <c r="E1128" t="s">
        <v>14</v>
      </c>
      <c r="F1128" s="2" t="str">
        <f t="shared" si="51"/>
        <v>Oct</v>
      </c>
      <c r="G1128" s="2">
        <f t="shared" si="52"/>
        <v>2023</v>
      </c>
      <c r="H1128" s="2">
        <f t="shared" si="53"/>
        <v>1868</v>
      </c>
    </row>
    <row r="1129" spans="1:8" x14ac:dyDescent="0.25">
      <c r="A1129" s="1">
        <v>45207</v>
      </c>
      <c r="B1129" t="s">
        <v>1144</v>
      </c>
      <c r="C1129" t="s">
        <v>13</v>
      </c>
      <c r="D1129">
        <v>2942</v>
      </c>
      <c r="E1129" t="s">
        <v>14</v>
      </c>
      <c r="F1129" s="2" t="str">
        <f t="shared" si="51"/>
        <v>Oct</v>
      </c>
      <c r="G1129" s="2">
        <f t="shared" si="52"/>
        <v>2023</v>
      </c>
      <c r="H1129" s="2">
        <f t="shared" si="53"/>
        <v>2942</v>
      </c>
    </row>
    <row r="1130" spans="1:8" x14ac:dyDescent="0.25">
      <c r="A1130" s="1">
        <v>45207</v>
      </c>
      <c r="B1130" t="s">
        <v>1145</v>
      </c>
      <c r="C1130" t="s">
        <v>27</v>
      </c>
      <c r="D1130">
        <v>1458.39</v>
      </c>
      <c r="E1130" t="s">
        <v>7</v>
      </c>
      <c r="F1130" s="2" t="str">
        <f t="shared" si="51"/>
        <v>Oct</v>
      </c>
      <c r="G1130" s="2">
        <f t="shared" si="52"/>
        <v>2023</v>
      </c>
      <c r="H1130" s="2">
        <f t="shared" si="53"/>
        <v>-1458.39</v>
      </c>
    </row>
    <row r="1131" spans="1:8" x14ac:dyDescent="0.25">
      <c r="A1131" s="1">
        <v>45208</v>
      </c>
      <c r="B1131" t="s">
        <v>1146</v>
      </c>
      <c r="C1131" t="s">
        <v>25</v>
      </c>
      <c r="D1131">
        <v>872.99</v>
      </c>
      <c r="E1131" t="s">
        <v>7</v>
      </c>
      <c r="F1131" s="2" t="str">
        <f t="shared" si="51"/>
        <v>Oct</v>
      </c>
      <c r="G1131" s="2">
        <f t="shared" si="52"/>
        <v>2023</v>
      </c>
      <c r="H1131" s="2">
        <f t="shared" si="53"/>
        <v>-872.99</v>
      </c>
    </row>
    <row r="1132" spans="1:8" x14ac:dyDescent="0.25">
      <c r="A1132" s="1">
        <v>45208</v>
      </c>
      <c r="B1132" t="s">
        <v>1147</v>
      </c>
      <c r="C1132" t="s">
        <v>9</v>
      </c>
      <c r="D1132">
        <v>692.04</v>
      </c>
      <c r="E1132" t="s">
        <v>7</v>
      </c>
      <c r="F1132" s="2" t="str">
        <f t="shared" si="51"/>
        <v>Oct</v>
      </c>
      <c r="G1132" s="2">
        <f t="shared" si="52"/>
        <v>2023</v>
      </c>
      <c r="H1132" s="2">
        <f t="shared" si="53"/>
        <v>-692.04</v>
      </c>
    </row>
    <row r="1133" spans="1:8" x14ac:dyDescent="0.25">
      <c r="A1133" s="1">
        <v>45210</v>
      </c>
      <c r="B1133" t="s">
        <v>1148</v>
      </c>
      <c r="C1133" t="s">
        <v>25</v>
      </c>
      <c r="D1133">
        <v>1502.73</v>
      </c>
      <c r="E1133" t="s">
        <v>7</v>
      </c>
      <c r="F1133" s="2" t="str">
        <f t="shared" si="51"/>
        <v>Oct</v>
      </c>
      <c r="G1133" s="2">
        <f t="shared" si="52"/>
        <v>2023</v>
      </c>
      <c r="H1133" s="2">
        <f t="shared" si="53"/>
        <v>-1502.73</v>
      </c>
    </row>
    <row r="1134" spans="1:8" x14ac:dyDescent="0.25">
      <c r="A1134" s="1">
        <v>45212</v>
      </c>
      <c r="B1134" t="s">
        <v>1149</v>
      </c>
      <c r="C1134" t="s">
        <v>20</v>
      </c>
      <c r="D1134">
        <v>656</v>
      </c>
      <c r="E1134" t="s">
        <v>14</v>
      </c>
      <c r="F1134" s="2" t="str">
        <f t="shared" si="51"/>
        <v>Oct</v>
      </c>
      <c r="G1134" s="2">
        <f t="shared" si="52"/>
        <v>2023</v>
      </c>
      <c r="H1134" s="2">
        <f t="shared" si="53"/>
        <v>656</v>
      </c>
    </row>
    <row r="1135" spans="1:8" x14ac:dyDescent="0.25">
      <c r="A1135" s="1">
        <v>45213</v>
      </c>
      <c r="B1135" t="s">
        <v>1150</v>
      </c>
      <c r="C1135" t="s">
        <v>9</v>
      </c>
      <c r="D1135">
        <v>430.27</v>
      </c>
      <c r="E1135" t="s">
        <v>7</v>
      </c>
      <c r="F1135" s="2" t="str">
        <f t="shared" si="51"/>
        <v>Oct</v>
      </c>
      <c r="G1135" s="2">
        <f t="shared" si="52"/>
        <v>2023</v>
      </c>
      <c r="H1135" s="2">
        <f t="shared" si="53"/>
        <v>-430.27</v>
      </c>
    </row>
    <row r="1136" spans="1:8" x14ac:dyDescent="0.25">
      <c r="A1136" s="1">
        <v>45213</v>
      </c>
      <c r="B1136" t="s">
        <v>1151</v>
      </c>
      <c r="C1136" t="s">
        <v>13</v>
      </c>
      <c r="D1136">
        <v>1508</v>
      </c>
      <c r="E1136" t="s">
        <v>14</v>
      </c>
      <c r="F1136" s="2" t="str">
        <f t="shared" si="51"/>
        <v>Oct</v>
      </c>
      <c r="G1136" s="2">
        <f t="shared" si="52"/>
        <v>2023</v>
      </c>
      <c r="H1136" s="2">
        <f t="shared" si="53"/>
        <v>1508</v>
      </c>
    </row>
    <row r="1137" spans="1:8" x14ac:dyDescent="0.25">
      <c r="A1137" s="1">
        <v>45214</v>
      </c>
      <c r="B1137" t="s">
        <v>1152</v>
      </c>
      <c r="C1137" t="s">
        <v>6</v>
      </c>
      <c r="D1137">
        <v>756.63</v>
      </c>
      <c r="E1137" t="s">
        <v>7</v>
      </c>
      <c r="F1137" s="2" t="str">
        <f t="shared" si="51"/>
        <v>Oct</v>
      </c>
      <c r="G1137" s="2">
        <f t="shared" si="52"/>
        <v>2023</v>
      </c>
      <c r="H1137" s="2">
        <f t="shared" si="53"/>
        <v>-756.63</v>
      </c>
    </row>
    <row r="1138" spans="1:8" x14ac:dyDescent="0.25">
      <c r="A1138" s="1">
        <v>45214</v>
      </c>
      <c r="B1138" t="s">
        <v>1153</v>
      </c>
      <c r="C1138" t="s">
        <v>6</v>
      </c>
      <c r="D1138">
        <v>1191.9100000000001</v>
      </c>
      <c r="E1138" t="s">
        <v>7</v>
      </c>
      <c r="F1138" s="2" t="str">
        <f t="shared" si="51"/>
        <v>Oct</v>
      </c>
      <c r="G1138" s="2">
        <f t="shared" si="52"/>
        <v>2023</v>
      </c>
      <c r="H1138" s="2">
        <f t="shared" si="53"/>
        <v>-1191.9100000000001</v>
      </c>
    </row>
    <row r="1139" spans="1:8" x14ac:dyDescent="0.25">
      <c r="A1139" s="1">
        <v>45215</v>
      </c>
      <c r="B1139" t="s">
        <v>1154</v>
      </c>
      <c r="C1139" t="s">
        <v>13</v>
      </c>
      <c r="D1139">
        <v>661</v>
      </c>
      <c r="E1139" t="s">
        <v>14</v>
      </c>
      <c r="F1139" s="2" t="str">
        <f t="shared" si="51"/>
        <v>Oct</v>
      </c>
      <c r="G1139" s="2">
        <f t="shared" si="52"/>
        <v>2023</v>
      </c>
      <c r="H1139" s="2">
        <f t="shared" si="53"/>
        <v>661</v>
      </c>
    </row>
    <row r="1140" spans="1:8" x14ac:dyDescent="0.25">
      <c r="A1140" s="1">
        <v>45216</v>
      </c>
      <c r="B1140" t="s">
        <v>1155</v>
      </c>
      <c r="C1140" t="s">
        <v>13</v>
      </c>
      <c r="D1140">
        <v>3914</v>
      </c>
      <c r="E1140" t="s">
        <v>14</v>
      </c>
      <c r="F1140" s="2" t="str">
        <f t="shared" si="51"/>
        <v>Oct</v>
      </c>
      <c r="G1140" s="2">
        <f t="shared" si="52"/>
        <v>2023</v>
      </c>
      <c r="H1140" s="2">
        <f t="shared" si="53"/>
        <v>3914</v>
      </c>
    </row>
    <row r="1141" spans="1:8" x14ac:dyDescent="0.25">
      <c r="A1141" s="1">
        <v>45216</v>
      </c>
      <c r="B1141" t="s">
        <v>1156</v>
      </c>
      <c r="C1141" t="s">
        <v>11</v>
      </c>
      <c r="D1141">
        <v>1099.0899999999999</v>
      </c>
      <c r="E1141" t="s">
        <v>7</v>
      </c>
      <c r="F1141" s="2" t="str">
        <f t="shared" si="51"/>
        <v>Oct</v>
      </c>
      <c r="G1141" s="2">
        <f t="shared" si="52"/>
        <v>2023</v>
      </c>
      <c r="H1141" s="2">
        <f t="shared" si="53"/>
        <v>-1099.0899999999999</v>
      </c>
    </row>
    <row r="1142" spans="1:8" x14ac:dyDescent="0.25">
      <c r="A1142" s="1">
        <v>45226</v>
      </c>
      <c r="B1142" t="s">
        <v>1157</v>
      </c>
      <c r="C1142" t="s">
        <v>9</v>
      </c>
      <c r="D1142">
        <v>418.93</v>
      </c>
      <c r="E1142" t="s">
        <v>7</v>
      </c>
      <c r="F1142" s="2" t="str">
        <f t="shared" si="51"/>
        <v>Oct</v>
      </c>
      <c r="G1142" s="2">
        <f t="shared" si="52"/>
        <v>2023</v>
      </c>
      <c r="H1142" s="2">
        <f t="shared" si="53"/>
        <v>-418.93</v>
      </c>
    </row>
    <row r="1143" spans="1:8" x14ac:dyDescent="0.25">
      <c r="A1143" s="1">
        <v>45226</v>
      </c>
      <c r="B1143" t="s">
        <v>1158</v>
      </c>
      <c r="C1143" t="s">
        <v>6</v>
      </c>
      <c r="D1143">
        <v>609.22</v>
      </c>
      <c r="E1143" t="s">
        <v>7</v>
      </c>
      <c r="F1143" s="2" t="str">
        <f t="shared" si="51"/>
        <v>Oct</v>
      </c>
      <c r="G1143" s="2">
        <f t="shared" si="52"/>
        <v>2023</v>
      </c>
      <c r="H1143" s="2">
        <f t="shared" si="53"/>
        <v>-609.22</v>
      </c>
    </row>
    <row r="1144" spans="1:8" x14ac:dyDescent="0.25">
      <c r="A1144" s="1">
        <v>45228</v>
      </c>
      <c r="B1144" t="s">
        <v>1159</v>
      </c>
      <c r="C1144" t="s">
        <v>35</v>
      </c>
      <c r="D1144">
        <v>1249.3699999999999</v>
      </c>
      <c r="E1144" t="s">
        <v>7</v>
      </c>
      <c r="F1144" s="2" t="str">
        <f t="shared" si="51"/>
        <v>Oct</v>
      </c>
      <c r="G1144" s="2">
        <f t="shared" si="52"/>
        <v>2023</v>
      </c>
      <c r="H1144" s="2">
        <f t="shared" si="53"/>
        <v>-1249.3699999999999</v>
      </c>
    </row>
    <row r="1145" spans="1:8" x14ac:dyDescent="0.25">
      <c r="A1145" s="1">
        <v>45229</v>
      </c>
      <c r="B1145" t="s">
        <v>1160</v>
      </c>
      <c r="C1145" t="s">
        <v>17</v>
      </c>
      <c r="D1145">
        <v>1663</v>
      </c>
      <c r="E1145" t="s">
        <v>7</v>
      </c>
      <c r="F1145" s="2" t="str">
        <f t="shared" si="51"/>
        <v>Oct</v>
      </c>
      <c r="G1145" s="2">
        <f t="shared" si="52"/>
        <v>2023</v>
      </c>
      <c r="H1145" s="2">
        <f t="shared" si="53"/>
        <v>-1663</v>
      </c>
    </row>
    <row r="1146" spans="1:8" x14ac:dyDescent="0.25">
      <c r="A1146" s="1">
        <v>45229</v>
      </c>
      <c r="B1146" t="s">
        <v>1161</v>
      </c>
      <c r="C1146" t="s">
        <v>13</v>
      </c>
      <c r="D1146">
        <v>2815</v>
      </c>
      <c r="E1146" t="s">
        <v>14</v>
      </c>
      <c r="F1146" s="2" t="str">
        <f t="shared" si="51"/>
        <v>Oct</v>
      </c>
      <c r="G1146" s="2">
        <f t="shared" si="52"/>
        <v>2023</v>
      </c>
      <c r="H1146" s="2">
        <f t="shared" si="53"/>
        <v>2815</v>
      </c>
    </row>
    <row r="1147" spans="1:8" x14ac:dyDescent="0.25">
      <c r="A1147" s="1">
        <v>45234</v>
      </c>
      <c r="B1147" t="s">
        <v>1162</v>
      </c>
      <c r="C1147" t="s">
        <v>13</v>
      </c>
      <c r="D1147">
        <v>4577</v>
      </c>
      <c r="E1147" t="s">
        <v>14</v>
      </c>
      <c r="F1147" s="2" t="str">
        <f t="shared" si="51"/>
        <v>Nov</v>
      </c>
      <c r="G1147" s="2">
        <f t="shared" si="52"/>
        <v>2023</v>
      </c>
      <c r="H1147" s="2">
        <f t="shared" si="53"/>
        <v>4577</v>
      </c>
    </row>
    <row r="1148" spans="1:8" x14ac:dyDescent="0.25">
      <c r="A1148" s="1">
        <v>45235</v>
      </c>
      <c r="B1148" t="s">
        <v>1163</v>
      </c>
      <c r="C1148" t="s">
        <v>13</v>
      </c>
      <c r="D1148">
        <v>2654</v>
      </c>
      <c r="E1148" t="s">
        <v>14</v>
      </c>
      <c r="F1148" s="2" t="str">
        <f t="shared" si="51"/>
        <v>Nov</v>
      </c>
      <c r="G1148" s="2">
        <f t="shared" si="52"/>
        <v>2023</v>
      </c>
      <c r="H1148" s="2">
        <f t="shared" si="53"/>
        <v>2654</v>
      </c>
    </row>
    <row r="1149" spans="1:8" x14ac:dyDescent="0.25">
      <c r="A1149" s="1">
        <v>45238</v>
      </c>
      <c r="B1149" t="s">
        <v>1164</v>
      </c>
      <c r="C1149" t="s">
        <v>22</v>
      </c>
      <c r="D1149">
        <v>722.26</v>
      </c>
      <c r="E1149" t="s">
        <v>7</v>
      </c>
      <c r="F1149" s="2" t="str">
        <f t="shared" si="51"/>
        <v>Nov</v>
      </c>
      <c r="G1149" s="2">
        <f t="shared" si="52"/>
        <v>2023</v>
      </c>
      <c r="H1149" s="2">
        <f t="shared" si="53"/>
        <v>-722.26</v>
      </c>
    </row>
    <row r="1150" spans="1:8" x14ac:dyDescent="0.25">
      <c r="A1150" s="1">
        <v>45238</v>
      </c>
      <c r="B1150" t="s">
        <v>1165</v>
      </c>
      <c r="C1150" t="s">
        <v>9</v>
      </c>
      <c r="D1150">
        <v>88.42</v>
      </c>
      <c r="E1150" t="s">
        <v>7</v>
      </c>
      <c r="F1150" s="2" t="str">
        <f t="shared" si="51"/>
        <v>Nov</v>
      </c>
      <c r="G1150" s="2">
        <f t="shared" si="52"/>
        <v>2023</v>
      </c>
      <c r="H1150" s="2">
        <f t="shared" si="53"/>
        <v>-88.42</v>
      </c>
    </row>
    <row r="1151" spans="1:8" x14ac:dyDescent="0.25">
      <c r="A1151" s="1">
        <v>45238</v>
      </c>
      <c r="B1151" t="s">
        <v>1166</v>
      </c>
      <c r="C1151" t="s">
        <v>22</v>
      </c>
      <c r="D1151">
        <v>1379.53</v>
      </c>
      <c r="E1151" t="s">
        <v>7</v>
      </c>
      <c r="F1151" s="2" t="str">
        <f t="shared" si="51"/>
        <v>Nov</v>
      </c>
      <c r="G1151" s="2">
        <f t="shared" si="52"/>
        <v>2023</v>
      </c>
      <c r="H1151" s="2">
        <f t="shared" si="53"/>
        <v>-1379.53</v>
      </c>
    </row>
    <row r="1152" spans="1:8" x14ac:dyDescent="0.25">
      <c r="A1152" s="1">
        <v>45239</v>
      </c>
      <c r="B1152" t="s">
        <v>1167</v>
      </c>
      <c r="C1152" t="s">
        <v>22</v>
      </c>
      <c r="D1152">
        <v>15.45</v>
      </c>
      <c r="E1152" t="s">
        <v>7</v>
      </c>
      <c r="F1152" s="2" t="str">
        <f t="shared" si="51"/>
        <v>Nov</v>
      </c>
      <c r="G1152" s="2">
        <f t="shared" si="52"/>
        <v>2023</v>
      </c>
      <c r="H1152" s="2">
        <f t="shared" si="53"/>
        <v>-15.45</v>
      </c>
    </row>
    <row r="1153" spans="1:8" x14ac:dyDescent="0.25">
      <c r="A1153" s="1">
        <v>45239</v>
      </c>
      <c r="B1153" t="s">
        <v>1168</v>
      </c>
      <c r="C1153" t="s">
        <v>11</v>
      </c>
      <c r="D1153">
        <v>1672.11</v>
      </c>
      <c r="E1153" t="s">
        <v>7</v>
      </c>
      <c r="F1153" s="2" t="str">
        <f t="shared" si="51"/>
        <v>Nov</v>
      </c>
      <c r="G1153" s="2">
        <f t="shared" si="52"/>
        <v>2023</v>
      </c>
      <c r="H1153" s="2">
        <f t="shared" si="53"/>
        <v>-1672.11</v>
      </c>
    </row>
    <row r="1154" spans="1:8" x14ac:dyDescent="0.25">
      <c r="A1154" s="1">
        <v>45241</v>
      </c>
      <c r="B1154" t="s">
        <v>1169</v>
      </c>
      <c r="C1154" t="s">
        <v>9</v>
      </c>
      <c r="D1154">
        <v>1899.4</v>
      </c>
      <c r="E1154" t="s">
        <v>7</v>
      </c>
      <c r="F1154" s="2" t="str">
        <f t="shared" ref="F1154:F1217" si="54">TEXT(A1154,"mmm")</f>
        <v>Nov</v>
      </c>
      <c r="G1154" s="2">
        <f t="shared" ref="G1154:G1217" si="55">YEAR(A1154)</f>
        <v>2023</v>
      </c>
      <c r="H1154" s="2">
        <f t="shared" ref="H1154:H1217" si="56">IF(E1154="Income",D1154,-D1154)</f>
        <v>-1899.4</v>
      </c>
    </row>
    <row r="1155" spans="1:8" x14ac:dyDescent="0.25">
      <c r="A1155" s="1">
        <v>45241</v>
      </c>
      <c r="B1155" t="s">
        <v>1170</v>
      </c>
      <c r="C1155" t="s">
        <v>11</v>
      </c>
      <c r="D1155">
        <v>1449.89</v>
      </c>
      <c r="E1155" t="s">
        <v>7</v>
      </c>
      <c r="F1155" s="2" t="str">
        <f t="shared" si="54"/>
        <v>Nov</v>
      </c>
      <c r="G1155" s="2">
        <f t="shared" si="55"/>
        <v>2023</v>
      </c>
      <c r="H1155" s="2">
        <f t="shared" si="56"/>
        <v>-1449.89</v>
      </c>
    </row>
    <row r="1156" spans="1:8" x14ac:dyDescent="0.25">
      <c r="A1156" s="1">
        <v>45243</v>
      </c>
      <c r="B1156" t="s">
        <v>1171</v>
      </c>
      <c r="C1156" t="s">
        <v>20</v>
      </c>
      <c r="D1156">
        <v>2393</v>
      </c>
      <c r="E1156" t="s">
        <v>14</v>
      </c>
      <c r="F1156" s="2" t="str">
        <f t="shared" si="54"/>
        <v>Nov</v>
      </c>
      <c r="G1156" s="2">
        <f t="shared" si="55"/>
        <v>2023</v>
      </c>
      <c r="H1156" s="2">
        <f t="shared" si="56"/>
        <v>2393</v>
      </c>
    </row>
    <row r="1157" spans="1:8" x14ac:dyDescent="0.25">
      <c r="A1157" s="1">
        <v>45244</v>
      </c>
      <c r="B1157" t="s">
        <v>1172</v>
      </c>
      <c r="C1157" t="s">
        <v>35</v>
      </c>
      <c r="D1157">
        <v>535.61</v>
      </c>
      <c r="E1157" t="s">
        <v>7</v>
      </c>
      <c r="F1157" s="2" t="str">
        <f t="shared" si="54"/>
        <v>Nov</v>
      </c>
      <c r="G1157" s="2">
        <f t="shared" si="55"/>
        <v>2023</v>
      </c>
      <c r="H1157" s="2">
        <f t="shared" si="56"/>
        <v>-535.61</v>
      </c>
    </row>
    <row r="1158" spans="1:8" x14ac:dyDescent="0.25">
      <c r="A1158" s="1">
        <v>45244</v>
      </c>
      <c r="B1158" t="s">
        <v>1173</v>
      </c>
      <c r="C1158" t="s">
        <v>13</v>
      </c>
      <c r="D1158">
        <v>823</v>
      </c>
      <c r="E1158" t="s">
        <v>14</v>
      </c>
      <c r="F1158" s="2" t="str">
        <f t="shared" si="54"/>
        <v>Nov</v>
      </c>
      <c r="G1158" s="2">
        <f t="shared" si="55"/>
        <v>2023</v>
      </c>
      <c r="H1158" s="2">
        <f t="shared" si="56"/>
        <v>823</v>
      </c>
    </row>
    <row r="1159" spans="1:8" x14ac:dyDescent="0.25">
      <c r="A1159" s="1">
        <v>45245</v>
      </c>
      <c r="B1159" t="s">
        <v>1174</v>
      </c>
      <c r="C1159" t="s">
        <v>25</v>
      </c>
      <c r="D1159">
        <v>1605.18</v>
      </c>
      <c r="E1159" t="s">
        <v>7</v>
      </c>
      <c r="F1159" s="2" t="str">
        <f t="shared" si="54"/>
        <v>Nov</v>
      </c>
      <c r="G1159" s="2">
        <f t="shared" si="55"/>
        <v>2023</v>
      </c>
      <c r="H1159" s="2">
        <f t="shared" si="56"/>
        <v>-1605.18</v>
      </c>
    </row>
    <row r="1160" spans="1:8" x14ac:dyDescent="0.25">
      <c r="A1160" s="1">
        <v>45247</v>
      </c>
      <c r="B1160" t="s">
        <v>1175</v>
      </c>
      <c r="C1160" t="s">
        <v>11</v>
      </c>
      <c r="D1160">
        <v>199.05</v>
      </c>
      <c r="E1160" t="s">
        <v>7</v>
      </c>
      <c r="F1160" s="2" t="str">
        <f t="shared" si="54"/>
        <v>Nov</v>
      </c>
      <c r="G1160" s="2">
        <f t="shared" si="55"/>
        <v>2023</v>
      </c>
      <c r="H1160" s="2">
        <f t="shared" si="56"/>
        <v>-199.05</v>
      </c>
    </row>
    <row r="1161" spans="1:8" x14ac:dyDescent="0.25">
      <c r="A1161" s="1">
        <v>45248</v>
      </c>
      <c r="B1161" t="s">
        <v>1176</v>
      </c>
      <c r="C1161" t="s">
        <v>6</v>
      </c>
      <c r="D1161">
        <v>29.25</v>
      </c>
      <c r="E1161" t="s">
        <v>7</v>
      </c>
      <c r="F1161" s="2" t="str">
        <f t="shared" si="54"/>
        <v>Nov</v>
      </c>
      <c r="G1161" s="2">
        <f t="shared" si="55"/>
        <v>2023</v>
      </c>
      <c r="H1161" s="2">
        <f t="shared" si="56"/>
        <v>-29.25</v>
      </c>
    </row>
    <row r="1162" spans="1:8" x14ac:dyDescent="0.25">
      <c r="A1162" s="1">
        <v>45251</v>
      </c>
      <c r="B1162" t="s">
        <v>1177</v>
      </c>
      <c r="C1162" t="s">
        <v>13</v>
      </c>
      <c r="D1162">
        <v>3192</v>
      </c>
      <c r="E1162" t="s">
        <v>14</v>
      </c>
      <c r="F1162" s="2" t="str">
        <f t="shared" si="54"/>
        <v>Nov</v>
      </c>
      <c r="G1162" s="2">
        <f t="shared" si="55"/>
        <v>2023</v>
      </c>
      <c r="H1162" s="2">
        <f t="shared" si="56"/>
        <v>3192</v>
      </c>
    </row>
    <row r="1163" spans="1:8" x14ac:dyDescent="0.25">
      <c r="A1163" s="1">
        <v>45251</v>
      </c>
      <c r="B1163" t="s">
        <v>1178</v>
      </c>
      <c r="C1163" t="s">
        <v>27</v>
      </c>
      <c r="D1163">
        <v>1910.63</v>
      </c>
      <c r="E1163" t="s">
        <v>7</v>
      </c>
      <c r="F1163" s="2" t="str">
        <f t="shared" si="54"/>
        <v>Nov</v>
      </c>
      <c r="G1163" s="2">
        <f t="shared" si="55"/>
        <v>2023</v>
      </c>
      <c r="H1163" s="2">
        <f t="shared" si="56"/>
        <v>-1910.63</v>
      </c>
    </row>
    <row r="1164" spans="1:8" x14ac:dyDescent="0.25">
      <c r="A1164" s="1">
        <v>45252</v>
      </c>
      <c r="B1164" t="s">
        <v>1179</v>
      </c>
      <c r="C1164" t="s">
        <v>11</v>
      </c>
      <c r="D1164">
        <v>751.52</v>
      </c>
      <c r="E1164" t="s">
        <v>7</v>
      </c>
      <c r="F1164" s="2" t="str">
        <f t="shared" si="54"/>
        <v>Nov</v>
      </c>
      <c r="G1164" s="2">
        <f t="shared" si="55"/>
        <v>2023</v>
      </c>
      <c r="H1164" s="2">
        <f t="shared" si="56"/>
        <v>-751.52</v>
      </c>
    </row>
    <row r="1165" spans="1:8" x14ac:dyDescent="0.25">
      <c r="A1165" s="1">
        <v>45253</v>
      </c>
      <c r="B1165" t="s">
        <v>1180</v>
      </c>
      <c r="C1165" t="s">
        <v>11</v>
      </c>
      <c r="D1165">
        <v>807.55</v>
      </c>
      <c r="E1165" t="s">
        <v>7</v>
      </c>
      <c r="F1165" s="2" t="str">
        <f t="shared" si="54"/>
        <v>Nov</v>
      </c>
      <c r="G1165" s="2">
        <f t="shared" si="55"/>
        <v>2023</v>
      </c>
      <c r="H1165" s="2">
        <f t="shared" si="56"/>
        <v>-807.55</v>
      </c>
    </row>
    <row r="1166" spans="1:8" x14ac:dyDescent="0.25">
      <c r="A1166" s="1">
        <v>45253</v>
      </c>
      <c r="B1166" t="s">
        <v>1181</v>
      </c>
      <c r="C1166" t="s">
        <v>35</v>
      </c>
      <c r="D1166">
        <v>1673.06</v>
      </c>
      <c r="E1166" t="s">
        <v>7</v>
      </c>
      <c r="F1166" s="2" t="str">
        <f t="shared" si="54"/>
        <v>Nov</v>
      </c>
      <c r="G1166" s="2">
        <f t="shared" si="55"/>
        <v>2023</v>
      </c>
      <c r="H1166" s="2">
        <f t="shared" si="56"/>
        <v>-1673.06</v>
      </c>
    </row>
    <row r="1167" spans="1:8" x14ac:dyDescent="0.25">
      <c r="A1167" s="1">
        <v>45256</v>
      </c>
      <c r="B1167" t="s">
        <v>1182</v>
      </c>
      <c r="C1167" t="s">
        <v>27</v>
      </c>
      <c r="D1167">
        <v>1601.8</v>
      </c>
      <c r="E1167" t="s">
        <v>7</v>
      </c>
      <c r="F1167" s="2" t="str">
        <f t="shared" si="54"/>
        <v>Nov</v>
      </c>
      <c r="G1167" s="2">
        <f t="shared" si="55"/>
        <v>2023</v>
      </c>
      <c r="H1167" s="2">
        <f t="shared" si="56"/>
        <v>-1601.8</v>
      </c>
    </row>
    <row r="1168" spans="1:8" x14ac:dyDescent="0.25">
      <c r="A1168" s="1">
        <v>45256</v>
      </c>
      <c r="B1168" t="s">
        <v>1183</v>
      </c>
      <c r="C1168" t="s">
        <v>9</v>
      </c>
      <c r="D1168">
        <v>234.98</v>
      </c>
      <c r="E1168" t="s">
        <v>7</v>
      </c>
      <c r="F1168" s="2" t="str">
        <f t="shared" si="54"/>
        <v>Nov</v>
      </c>
      <c r="G1168" s="2">
        <f t="shared" si="55"/>
        <v>2023</v>
      </c>
      <c r="H1168" s="2">
        <f t="shared" si="56"/>
        <v>-234.98</v>
      </c>
    </row>
    <row r="1169" spans="1:8" x14ac:dyDescent="0.25">
      <c r="A1169" s="1">
        <v>45256</v>
      </c>
      <c r="B1169" t="s">
        <v>1184</v>
      </c>
      <c r="C1169" t="s">
        <v>6</v>
      </c>
      <c r="D1169">
        <v>1963.32</v>
      </c>
      <c r="E1169" t="s">
        <v>7</v>
      </c>
      <c r="F1169" s="2" t="str">
        <f t="shared" si="54"/>
        <v>Nov</v>
      </c>
      <c r="G1169" s="2">
        <f t="shared" si="55"/>
        <v>2023</v>
      </c>
      <c r="H1169" s="2">
        <f t="shared" si="56"/>
        <v>-1963.32</v>
      </c>
    </row>
    <row r="1170" spans="1:8" x14ac:dyDescent="0.25">
      <c r="A1170" s="1">
        <v>45256</v>
      </c>
      <c r="B1170" t="s">
        <v>1185</v>
      </c>
      <c r="C1170" t="s">
        <v>11</v>
      </c>
      <c r="D1170">
        <v>837.9</v>
      </c>
      <c r="E1170" t="s">
        <v>7</v>
      </c>
      <c r="F1170" s="2" t="str">
        <f t="shared" si="54"/>
        <v>Nov</v>
      </c>
      <c r="G1170" s="2">
        <f t="shared" si="55"/>
        <v>2023</v>
      </c>
      <c r="H1170" s="2">
        <f t="shared" si="56"/>
        <v>-837.9</v>
      </c>
    </row>
    <row r="1171" spans="1:8" x14ac:dyDescent="0.25">
      <c r="A1171" s="1">
        <v>45257</v>
      </c>
      <c r="B1171" t="s">
        <v>1186</v>
      </c>
      <c r="C1171" t="s">
        <v>27</v>
      </c>
      <c r="D1171">
        <v>370.71</v>
      </c>
      <c r="E1171" t="s">
        <v>7</v>
      </c>
      <c r="F1171" s="2" t="str">
        <f t="shared" si="54"/>
        <v>Nov</v>
      </c>
      <c r="G1171" s="2">
        <f t="shared" si="55"/>
        <v>2023</v>
      </c>
      <c r="H1171" s="2">
        <f t="shared" si="56"/>
        <v>-370.71</v>
      </c>
    </row>
    <row r="1172" spans="1:8" x14ac:dyDescent="0.25">
      <c r="A1172" s="1">
        <v>45257</v>
      </c>
      <c r="B1172" t="s">
        <v>1187</v>
      </c>
      <c r="C1172" t="s">
        <v>25</v>
      </c>
      <c r="D1172">
        <v>1226.5999999999999</v>
      </c>
      <c r="E1172" t="s">
        <v>7</v>
      </c>
      <c r="F1172" s="2" t="str">
        <f t="shared" si="54"/>
        <v>Nov</v>
      </c>
      <c r="G1172" s="2">
        <f t="shared" si="55"/>
        <v>2023</v>
      </c>
      <c r="H1172" s="2">
        <f t="shared" si="56"/>
        <v>-1226.5999999999999</v>
      </c>
    </row>
    <row r="1173" spans="1:8" x14ac:dyDescent="0.25">
      <c r="A1173" s="1">
        <v>45258</v>
      </c>
      <c r="B1173" t="s">
        <v>1188</v>
      </c>
      <c r="C1173" t="s">
        <v>9</v>
      </c>
      <c r="D1173">
        <v>971.33</v>
      </c>
      <c r="E1173" t="s">
        <v>7</v>
      </c>
      <c r="F1173" s="2" t="str">
        <f t="shared" si="54"/>
        <v>Nov</v>
      </c>
      <c r="G1173" s="2">
        <f t="shared" si="55"/>
        <v>2023</v>
      </c>
      <c r="H1173" s="2">
        <f t="shared" si="56"/>
        <v>-971.33</v>
      </c>
    </row>
    <row r="1174" spans="1:8" x14ac:dyDescent="0.25">
      <c r="A1174" s="1">
        <v>45258</v>
      </c>
      <c r="B1174" t="s">
        <v>1189</v>
      </c>
      <c r="C1174" t="s">
        <v>17</v>
      </c>
      <c r="D1174">
        <v>886.97</v>
      </c>
      <c r="E1174" t="s">
        <v>7</v>
      </c>
      <c r="F1174" s="2" t="str">
        <f t="shared" si="54"/>
        <v>Nov</v>
      </c>
      <c r="G1174" s="2">
        <f t="shared" si="55"/>
        <v>2023</v>
      </c>
      <c r="H1174" s="2">
        <f t="shared" si="56"/>
        <v>-886.97</v>
      </c>
    </row>
    <row r="1175" spans="1:8" x14ac:dyDescent="0.25">
      <c r="A1175" s="1">
        <v>45259</v>
      </c>
      <c r="B1175" t="s">
        <v>1190</v>
      </c>
      <c r="C1175" t="s">
        <v>20</v>
      </c>
      <c r="D1175">
        <v>601</v>
      </c>
      <c r="E1175" t="s">
        <v>14</v>
      </c>
      <c r="F1175" s="2" t="str">
        <f t="shared" si="54"/>
        <v>Nov</v>
      </c>
      <c r="G1175" s="2">
        <f t="shared" si="55"/>
        <v>2023</v>
      </c>
      <c r="H1175" s="2">
        <f t="shared" si="56"/>
        <v>601</v>
      </c>
    </row>
    <row r="1176" spans="1:8" x14ac:dyDescent="0.25">
      <c r="A1176" s="1">
        <v>45265</v>
      </c>
      <c r="B1176" t="s">
        <v>1191</v>
      </c>
      <c r="C1176" t="s">
        <v>22</v>
      </c>
      <c r="D1176">
        <v>1956.01</v>
      </c>
      <c r="E1176" t="s">
        <v>7</v>
      </c>
      <c r="F1176" s="2" t="str">
        <f t="shared" si="54"/>
        <v>Dec</v>
      </c>
      <c r="G1176" s="2">
        <f t="shared" si="55"/>
        <v>2023</v>
      </c>
      <c r="H1176" s="2">
        <f t="shared" si="56"/>
        <v>-1956.01</v>
      </c>
    </row>
    <row r="1177" spans="1:8" x14ac:dyDescent="0.25">
      <c r="A1177" s="1">
        <v>45265</v>
      </c>
      <c r="B1177" t="s">
        <v>1192</v>
      </c>
      <c r="C1177" t="s">
        <v>25</v>
      </c>
      <c r="D1177">
        <v>1043.01</v>
      </c>
      <c r="E1177" t="s">
        <v>7</v>
      </c>
      <c r="F1177" s="2" t="str">
        <f t="shared" si="54"/>
        <v>Dec</v>
      </c>
      <c r="G1177" s="2">
        <f t="shared" si="55"/>
        <v>2023</v>
      </c>
      <c r="H1177" s="2">
        <f t="shared" si="56"/>
        <v>-1043.01</v>
      </c>
    </row>
    <row r="1178" spans="1:8" x14ac:dyDescent="0.25">
      <c r="A1178" s="1">
        <v>45266</v>
      </c>
      <c r="B1178" t="s">
        <v>1193</v>
      </c>
      <c r="C1178" t="s">
        <v>11</v>
      </c>
      <c r="D1178">
        <v>871.37</v>
      </c>
      <c r="E1178" t="s">
        <v>7</v>
      </c>
      <c r="F1178" s="2" t="str">
        <f t="shared" si="54"/>
        <v>Dec</v>
      </c>
      <c r="G1178" s="2">
        <f t="shared" si="55"/>
        <v>2023</v>
      </c>
      <c r="H1178" s="2">
        <f t="shared" si="56"/>
        <v>-871.37</v>
      </c>
    </row>
    <row r="1179" spans="1:8" x14ac:dyDescent="0.25">
      <c r="A1179" s="1">
        <v>45268</v>
      </c>
      <c r="B1179" t="s">
        <v>1194</v>
      </c>
      <c r="C1179" t="s">
        <v>27</v>
      </c>
      <c r="D1179">
        <v>698.04</v>
      </c>
      <c r="E1179" t="s">
        <v>7</v>
      </c>
      <c r="F1179" s="2" t="str">
        <f t="shared" si="54"/>
        <v>Dec</v>
      </c>
      <c r="G1179" s="2">
        <f t="shared" si="55"/>
        <v>2023</v>
      </c>
      <c r="H1179" s="2">
        <f t="shared" si="56"/>
        <v>-698.04</v>
      </c>
    </row>
    <row r="1180" spans="1:8" x14ac:dyDescent="0.25">
      <c r="A1180" s="1">
        <v>45269</v>
      </c>
      <c r="B1180" t="s">
        <v>1195</v>
      </c>
      <c r="C1180" t="s">
        <v>17</v>
      </c>
      <c r="D1180">
        <v>305.82</v>
      </c>
      <c r="E1180" t="s">
        <v>7</v>
      </c>
      <c r="F1180" s="2" t="str">
        <f t="shared" si="54"/>
        <v>Dec</v>
      </c>
      <c r="G1180" s="2">
        <f t="shared" si="55"/>
        <v>2023</v>
      </c>
      <c r="H1180" s="2">
        <f t="shared" si="56"/>
        <v>-305.82</v>
      </c>
    </row>
    <row r="1181" spans="1:8" x14ac:dyDescent="0.25">
      <c r="A1181" s="1">
        <v>45269</v>
      </c>
      <c r="B1181" t="s">
        <v>1196</v>
      </c>
      <c r="C1181" t="s">
        <v>6</v>
      </c>
      <c r="D1181">
        <v>33.17</v>
      </c>
      <c r="E1181" t="s">
        <v>7</v>
      </c>
      <c r="F1181" s="2" t="str">
        <f t="shared" si="54"/>
        <v>Dec</v>
      </c>
      <c r="G1181" s="2">
        <f t="shared" si="55"/>
        <v>2023</v>
      </c>
      <c r="H1181" s="2">
        <f t="shared" si="56"/>
        <v>-33.17</v>
      </c>
    </row>
    <row r="1182" spans="1:8" x14ac:dyDescent="0.25">
      <c r="A1182" s="1">
        <v>45270</v>
      </c>
      <c r="B1182" t="s">
        <v>1197</v>
      </c>
      <c r="C1182" t="s">
        <v>27</v>
      </c>
      <c r="D1182">
        <v>1705.22</v>
      </c>
      <c r="E1182" t="s">
        <v>7</v>
      </c>
      <c r="F1182" s="2" t="str">
        <f t="shared" si="54"/>
        <v>Dec</v>
      </c>
      <c r="G1182" s="2">
        <f t="shared" si="55"/>
        <v>2023</v>
      </c>
      <c r="H1182" s="2">
        <f t="shared" si="56"/>
        <v>-1705.22</v>
      </c>
    </row>
    <row r="1183" spans="1:8" x14ac:dyDescent="0.25">
      <c r="A1183" s="1">
        <v>45271</v>
      </c>
      <c r="B1183" t="s">
        <v>1198</v>
      </c>
      <c r="C1183" t="s">
        <v>11</v>
      </c>
      <c r="D1183">
        <v>1505.35</v>
      </c>
      <c r="E1183" t="s">
        <v>7</v>
      </c>
      <c r="F1183" s="2" t="str">
        <f t="shared" si="54"/>
        <v>Dec</v>
      </c>
      <c r="G1183" s="2">
        <f t="shared" si="55"/>
        <v>2023</v>
      </c>
      <c r="H1183" s="2">
        <f t="shared" si="56"/>
        <v>-1505.35</v>
      </c>
    </row>
    <row r="1184" spans="1:8" x14ac:dyDescent="0.25">
      <c r="A1184" s="1">
        <v>45273</v>
      </c>
      <c r="B1184" t="s">
        <v>1199</v>
      </c>
      <c r="C1184" t="s">
        <v>25</v>
      </c>
      <c r="D1184">
        <v>1940.59</v>
      </c>
      <c r="E1184" t="s">
        <v>7</v>
      </c>
      <c r="F1184" s="2" t="str">
        <f t="shared" si="54"/>
        <v>Dec</v>
      </c>
      <c r="G1184" s="2">
        <f t="shared" si="55"/>
        <v>2023</v>
      </c>
      <c r="H1184" s="2">
        <f t="shared" si="56"/>
        <v>-1940.59</v>
      </c>
    </row>
    <row r="1185" spans="1:8" x14ac:dyDescent="0.25">
      <c r="A1185" s="1">
        <v>45274</v>
      </c>
      <c r="B1185" t="s">
        <v>1200</v>
      </c>
      <c r="C1185" t="s">
        <v>13</v>
      </c>
      <c r="D1185">
        <v>3601</v>
      </c>
      <c r="E1185" t="s">
        <v>14</v>
      </c>
      <c r="F1185" s="2" t="str">
        <f t="shared" si="54"/>
        <v>Dec</v>
      </c>
      <c r="G1185" s="2">
        <f t="shared" si="55"/>
        <v>2023</v>
      </c>
      <c r="H1185" s="2">
        <f t="shared" si="56"/>
        <v>3601</v>
      </c>
    </row>
    <row r="1186" spans="1:8" x14ac:dyDescent="0.25">
      <c r="A1186" s="1">
        <v>45274</v>
      </c>
      <c r="B1186" t="s">
        <v>1201</v>
      </c>
      <c r="C1186" t="s">
        <v>22</v>
      </c>
      <c r="D1186">
        <v>166.87</v>
      </c>
      <c r="E1186" t="s">
        <v>7</v>
      </c>
      <c r="F1186" s="2" t="str">
        <f t="shared" si="54"/>
        <v>Dec</v>
      </c>
      <c r="G1186" s="2">
        <f t="shared" si="55"/>
        <v>2023</v>
      </c>
      <c r="H1186" s="2">
        <f t="shared" si="56"/>
        <v>-166.87</v>
      </c>
    </row>
    <row r="1187" spans="1:8" x14ac:dyDescent="0.25">
      <c r="A1187" s="1">
        <v>45278</v>
      </c>
      <c r="B1187" t="s">
        <v>1202</v>
      </c>
      <c r="C1187" t="s">
        <v>27</v>
      </c>
      <c r="D1187">
        <v>185.16</v>
      </c>
      <c r="E1187" t="s">
        <v>7</v>
      </c>
      <c r="F1187" s="2" t="str">
        <f t="shared" si="54"/>
        <v>Dec</v>
      </c>
      <c r="G1187" s="2">
        <f t="shared" si="55"/>
        <v>2023</v>
      </c>
      <c r="H1187" s="2">
        <f t="shared" si="56"/>
        <v>-185.16</v>
      </c>
    </row>
    <row r="1188" spans="1:8" x14ac:dyDescent="0.25">
      <c r="A1188" s="1">
        <v>45280</v>
      </c>
      <c r="B1188" t="s">
        <v>1203</v>
      </c>
      <c r="C1188" t="s">
        <v>25</v>
      </c>
      <c r="D1188">
        <v>246.23</v>
      </c>
      <c r="E1188" t="s">
        <v>7</v>
      </c>
      <c r="F1188" s="2" t="str">
        <f t="shared" si="54"/>
        <v>Dec</v>
      </c>
      <c r="G1188" s="2">
        <f t="shared" si="55"/>
        <v>2023</v>
      </c>
      <c r="H1188" s="2">
        <f t="shared" si="56"/>
        <v>-246.23</v>
      </c>
    </row>
    <row r="1189" spans="1:8" x14ac:dyDescent="0.25">
      <c r="A1189" s="1">
        <v>45281</v>
      </c>
      <c r="B1189" t="s">
        <v>1204</v>
      </c>
      <c r="C1189" t="s">
        <v>6</v>
      </c>
      <c r="D1189">
        <v>214.26</v>
      </c>
      <c r="E1189" t="s">
        <v>7</v>
      </c>
      <c r="F1189" s="2" t="str">
        <f t="shared" si="54"/>
        <v>Dec</v>
      </c>
      <c r="G1189" s="2">
        <f t="shared" si="55"/>
        <v>2023</v>
      </c>
      <c r="H1189" s="2">
        <f t="shared" si="56"/>
        <v>-214.26</v>
      </c>
    </row>
    <row r="1190" spans="1:8" x14ac:dyDescent="0.25">
      <c r="A1190" s="1">
        <v>45282</v>
      </c>
      <c r="B1190" t="s">
        <v>1205</v>
      </c>
      <c r="C1190" t="s">
        <v>6</v>
      </c>
      <c r="D1190">
        <v>1653.56</v>
      </c>
      <c r="E1190" t="s">
        <v>7</v>
      </c>
      <c r="F1190" s="2" t="str">
        <f t="shared" si="54"/>
        <v>Dec</v>
      </c>
      <c r="G1190" s="2">
        <f t="shared" si="55"/>
        <v>2023</v>
      </c>
      <c r="H1190" s="2">
        <f t="shared" si="56"/>
        <v>-1653.56</v>
      </c>
    </row>
    <row r="1191" spans="1:8" x14ac:dyDescent="0.25">
      <c r="A1191" s="1">
        <v>45283</v>
      </c>
      <c r="B1191" t="s">
        <v>1206</v>
      </c>
      <c r="C1191" t="s">
        <v>35</v>
      </c>
      <c r="D1191">
        <v>1781.32</v>
      </c>
      <c r="E1191" t="s">
        <v>7</v>
      </c>
      <c r="F1191" s="2" t="str">
        <f t="shared" si="54"/>
        <v>Dec</v>
      </c>
      <c r="G1191" s="2">
        <f t="shared" si="55"/>
        <v>2023</v>
      </c>
      <c r="H1191" s="2">
        <f t="shared" si="56"/>
        <v>-1781.32</v>
      </c>
    </row>
    <row r="1192" spans="1:8" x14ac:dyDescent="0.25">
      <c r="A1192" s="1">
        <v>45285</v>
      </c>
      <c r="B1192" t="s">
        <v>1207</v>
      </c>
      <c r="C1192" t="s">
        <v>27</v>
      </c>
      <c r="D1192">
        <v>1901.21</v>
      </c>
      <c r="E1192" t="s">
        <v>7</v>
      </c>
      <c r="F1192" s="2" t="str">
        <f t="shared" si="54"/>
        <v>Dec</v>
      </c>
      <c r="G1192" s="2">
        <f t="shared" si="55"/>
        <v>2023</v>
      </c>
      <c r="H1192" s="2">
        <f t="shared" si="56"/>
        <v>-1901.21</v>
      </c>
    </row>
    <row r="1193" spans="1:8" x14ac:dyDescent="0.25">
      <c r="A1193" s="1">
        <v>45286</v>
      </c>
      <c r="B1193" t="s">
        <v>1208</v>
      </c>
      <c r="C1193" t="s">
        <v>6</v>
      </c>
      <c r="D1193">
        <v>1635.01</v>
      </c>
      <c r="E1193" t="s">
        <v>7</v>
      </c>
      <c r="F1193" s="2" t="str">
        <f t="shared" si="54"/>
        <v>Dec</v>
      </c>
      <c r="G1193" s="2">
        <f t="shared" si="55"/>
        <v>2023</v>
      </c>
      <c r="H1193" s="2">
        <f t="shared" si="56"/>
        <v>-1635.01</v>
      </c>
    </row>
    <row r="1194" spans="1:8" x14ac:dyDescent="0.25">
      <c r="A1194" s="1">
        <v>45287</v>
      </c>
      <c r="B1194" t="s">
        <v>1209</v>
      </c>
      <c r="C1194" t="s">
        <v>25</v>
      </c>
      <c r="D1194">
        <v>1124.7</v>
      </c>
      <c r="E1194" t="s">
        <v>7</v>
      </c>
      <c r="F1194" s="2" t="str">
        <f t="shared" si="54"/>
        <v>Dec</v>
      </c>
      <c r="G1194" s="2">
        <f t="shared" si="55"/>
        <v>2023</v>
      </c>
      <c r="H1194" s="2">
        <f t="shared" si="56"/>
        <v>-1124.7</v>
      </c>
    </row>
    <row r="1195" spans="1:8" x14ac:dyDescent="0.25">
      <c r="A1195" s="1">
        <v>45289</v>
      </c>
      <c r="B1195" t="s">
        <v>1210</v>
      </c>
      <c r="C1195" t="s">
        <v>27</v>
      </c>
      <c r="D1195">
        <v>1436.15</v>
      </c>
      <c r="E1195" t="s">
        <v>7</v>
      </c>
      <c r="F1195" s="2" t="str">
        <f t="shared" si="54"/>
        <v>Dec</v>
      </c>
      <c r="G1195" s="2">
        <f t="shared" si="55"/>
        <v>2023</v>
      </c>
      <c r="H1195" s="2">
        <f t="shared" si="56"/>
        <v>-1436.15</v>
      </c>
    </row>
    <row r="1196" spans="1:8" x14ac:dyDescent="0.25">
      <c r="A1196" s="1">
        <v>45289</v>
      </c>
      <c r="B1196" t="s">
        <v>1211</v>
      </c>
      <c r="C1196" t="s">
        <v>27</v>
      </c>
      <c r="D1196">
        <v>236.91</v>
      </c>
      <c r="E1196" t="s">
        <v>7</v>
      </c>
      <c r="F1196" s="2" t="str">
        <f t="shared" si="54"/>
        <v>Dec</v>
      </c>
      <c r="G1196" s="2">
        <f t="shared" si="55"/>
        <v>2023</v>
      </c>
      <c r="H1196" s="2">
        <f t="shared" si="56"/>
        <v>-236.91</v>
      </c>
    </row>
    <row r="1197" spans="1:8" x14ac:dyDescent="0.25">
      <c r="A1197" s="1">
        <v>45289</v>
      </c>
      <c r="B1197" t="s">
        <v>1212</v>
      </c>
      <c r="C1197" t="s">
        <v>22</v>
      </c>
      <c r="D1197">
        <v>14.37</v>
      </c>
      <c r="E1197" t="s">
        <v>7</v>
      </c>
      <c r="F1197" s="2" t="str">
        <f t="shared" si="54"/>
        <v>Dec</v>
      </c>
      <c r="G1197" s="2">
        <f t="shared" si="55"/>
        <v>2023</v>
      </c>
      <c r="H1197" s="2">
        <f t="shared" si="56"/>
        <v>-14.37</v>
      </c>
    </row>
    <row r="1198" spans="1:8" x14ac:dyDescent="0.25">
      <c r="A1198" s="1">
        <v>45293</v>
      </c>
      <c r="B1198" t="s">
        <v>1213</v>
      </c>
      <c r="C1198" t="s">
        <v>35</v>
      </c>
      <c r="D1198">
        <v>1099.9000000000001</v>
      </c>
      <c r="E1198" t="s">
        <v>7</v>
      </c>
      <c r="F1198" s="2" t="str">
        <f t="shared" si="54"/>
        <v>Jan</v>
      </c>
      <c r="G1198" s="2">
        <f t="shared" si="55"/>
        <v>2024</v>
      </c>
      <c r="H1198" s="2">
        <f t="shared" si="56"/>
        <v>-1099.9000000000001</v>
      </c>
    </row>
    <row r="1199" spans="1:8" x14ac:dyDescent="0.25">
      <c r="A1199" s="1">
        <v>45293</v>
      </c>
      <c r="B1199" t="s">
        <v>1214</v>
      </c>
      <c r="C1199" t="s">
        <v>11</v>
      </c>
      <c r="D1199">
        <v>101.1</v>
      </c>
      <c r="E1199" t="s">
        <v>7</v>
      </c>
      <c r="F1199" s="2" t="str">
        <f t="shared" si="54"/>
        <v>Jan</v>
      </c>
      <c r="G1199" s="2">
        <f t="shared" si="55"/>
        <v>2024</v>
      </c>
      <c r="H1199" s="2">
        <f t="shared" si="56"/>
        <v>-101.1</v>
      </c>
    </row>
    <row r="1200" spans="1:8" x14ac:dyDescent="0.25">
      <c r="A1200" s="1">
        <v>45295</v>
      </c>
      <c r="B1200" t="s">
        <v>1215</v>
      </c>
      <c r="C1200" t="s">
        <v>13</v>
      </c>
      <c r="D1200">
        <v>3852</v>
      </c>
      <c r="E1200" t="s">
        <v>14</v>
      </c>
      <c r="F1200" s="2" t="str">
        <f t="shared" si="54"/>
        <v>Jan</v>
      </c>
      <c r="G1200" s="2">
        <f t="shared" si="55"/>
        <v>2024</v>
      </c>
      <c r="H1200" s="2">
        <f t="shared" si="56"/>
        <v>3852</v>
      </c>
    </row>
    <row r="1201" spans="1:8" x14ac:dyDescent="0.25">
      <c r="A1201" s="1">
        <v>45295</v>
      </c>
      <c r="B1201" t="s">
        <v>1216</v>
      </c>
      <c r="C1201" t="s">
        <v>13</v>
      </c>
      <c r="D1201">
        <v>2036</v>
      </c>
      <c r="E1201" t="s">
        <v>14</v>
      </c>
      <c r="F1201" s="2" t="str">
        <f t="shared" si="54"/>
        <v>Jan</v>
      </c>
      <c r="G1201" s="2">
        <f t="shared" si="55"/>
        <v>2024</v>
      </c>
      <c r="H1201" s="2">
        <f t="shared" si="56"/>
        <v>2036</v>
      </c>
    </row>
    <row r="1202" spans="1:8" x14ac:dyDescent="0.25">
      <c r="A1202" s="1">
        <v>45298</v>
      </c>
      <c r="B1202" t="s">
        <v>1217</v>
      </c>
      <c r="C1202" t="s">
        <v>20</v>
      </c>
      <c r="D1202">
        <v>2266</v>
      </c>
      <c r="E1202" t="s">
        <v>14</v>
      </c>
      <c r="F1202" s="2" t="str">
        <f t="shared" si="54"/>
        <v>Jan</v>
      </c>
      <c r="G1202" s="2">
        <f t="shared" si="55"/>
        <v>2024</v>
      </c>
      <c r="H1202" s="2">
        <f t="shared" si="56"/>
        <v>2266</v>
      </c>
    </row>
    <row r="1203" spans="1:8" x14ac:dyDescent="0.25">
      <c r="A1203" s="1">
        <v>45300</v>
      </c>
      <c r="B1203" t="s">
        <v>1218</v>
      </c>
      <c r="C1203" t="s">
        <v>22</v>
      </c>
      <c r="D1203">
        <v>1436.41</v>
      </c>
      <c r="E1203" t="s">
        <v>7</v>
      </c>
      <c r="F1203" s="2" t="str">
        <f t="shared" si="54"/>
        <v>Jan</v>
      </c>
      <c r="G1203" s="2">
        <f t="shared" si="55"/>
        <v>2024</v>
      </c>
      <c r="H1203" s="2">
        <f t="shared" si="56"/>
        <v>-1436.41</v>
      </c>
    </row>
    <row r="1204" spans="1:8" x14ac:dyDescent="0.25">
      <c r="A1204" s="1">
        <v>45300</v>
      </c>
      <c r="B1204" t="s">
        <v>1219</v>
      </c>
      <c r="C1204" t="s">
        <v>20</v>
      </c>
      <c r="D1204">
        <v>880</v>
      </c>
      <c r="E1204" t="s">
        <v>14</v>
      </c>
      <c r="F1204" s="2" t="str">
        <f t="shared" si="54"/>
        <v>Jan</v>
      </c>
      <c r="G1204" s="2">
        <f t="shared" si="55"/>
        <v>2024</v>
      </c>
      <c r="H1204" s="2">
        <f t="shared" si="56"/>
        <v>880</v>
      </c>
    </row>
    <row r="1205" spans="1:8" x14ac:dyDescent="0.25">
      <c r="A1205" s="1">
        <v>45301</v>
      </c>
      <c r="B1205" t="s">
        <v>1220</v>
      </c>
      <c r="C1205" t="s">
        <v>11</v>
      </c>
      <c r="D1205">
        <v>1546.57</v>
      </c>
      <c r="E1205" t="s">
        <v>7</v>
      </c>
      <c r="F1205" s="2" t="str">
        <f t="shared" si="54"/>
        <v>Jan</v>
      </c>
      <c r="G1205" s="2">
        <f t="shared" si="55"/>
        <v>2024</v>
      </c>
      <c r="H1205" s="2">
        <f t="shared" si="56"/>
        <v>-1546.57</v>
      </c>
    </row>
    <row r="1206" spans="1:8" x14ac:dyDescent="0.25">
      <c r="A1206" s="1">
        <v>45302</v>
      </c>
      <c r="B1206" t="s">
        <v>1221</v>
      </c>
      <c r="C1206" t="s">
        <v>9</v>
      </c>
      <c r="D1206">
        <v>1928.07</v>
      </c>
      <c r="E1206" t="s">
        <v>7</v>
      </c>
      <c r="F1206" s="2" t="str">
        <f t="shared" si="54"/>
        <v>Jan</v>
      </c>
      <c r="G1206" s="2">
        <f t="shared" si="55"/>
        <v>2024</v>
      </c>
      <c r="H1206" s="2">
        <f t="shared" si="56"/>
        <v>-1928.07</v>
      </c>
    </row>
    <row r="1207" spans="1:8" x14ac:dyDescent="0.25">
      <c r="A1207" s="1">
        <v>45302</v>
      </c>
      <c r="B1207" t="s">
        <v>1222</v>
      </c>
      <c r="C1207" t="s">
        <v>13</v>
      </c>
      <c r="D1207">
        <v>4045</v>
      </c>
      <c r="E1207" t="s">
        <v>14</v>
      </c>
      <c r="F1207" s="2" t="str">
        <f t="shared" si="54"/>
        <v>Jan</v>
      </c>
      <c r="G1207" s="2">
        <f t="shared" si="55"/>
        <v>2024</v>
      </c>
      <c r="H1207" s="2">
        <f t="shared" si="56"/>
        <v>4045</v>
      </c>
    </row>
    <row r="1208" spans="1:8" x14ac:dyDescent="0.25">
      <c r="A1208" s="1">
        <v>45302</v>
      </c>
      <c r="B1208" t="s">
        <v>1223</v>
      </c>
      <c r="C1208" t="s">
        <v>27</v>
      </c>
      <c r="D1208">
        <v>1849.5</v>
      </c>
      <c r="E1208" t="s">
        <v>7</v>
      </c>
      <c r="F1208" s="2" t="str">
        <f t="shared" si="54"/>
        <v>Jan</v>
      </c>
      <c r="G1208" s="2">
        <f t="shared" si="55"/>
        <v>2024</v>
      </c>
      <c r="H1208" s="2">
        <f t="shared" si="56"/>
        <v>-1849.5</v>
      </c>
    </row>
    <row r="1209" spans="1:8" x14ac:dyDescent="0.25">
      <c r="A1209" s="1">
        <v>45303</v>
      </c>
      <c r="B1209" t="s">
        <v>1224</v>
      </c>
      <c r="C1209" t="s">
        <v>9</v>
      </c>
      <c r="D1209">
        <v>1386.72</v>
      </c>
      <c r="E1209" t="s">
        <v>7</v>
      </c>
      <c r="F1209" s="2" t="str">
        <f t="shared" si="54"/>
        <v>Jan</v>
      </c>
      <c r="G1209" s="2">
        <f t="shared" si="55"/>
        <v>2024</v>
      </c>
      <c r="H1209" s="2">
        <f t="shared" si="56"/>
        <v>-1386.72</v>
      </c>
    </row>
    <row r="1210" spans="1:8" x14ac:dyDescent="0.25">
      <c r="A1210" s="1">
        <v>45304</v>
      </c>
      <c r="B1210" t="s">
        <v>1225</v>
      </c>
      <c r="C1210" t="s">
        <v>13</v>
      </c>
      <c r="D1210">
        <v>1348</v>
      </c>
      <c r="E1210" t="s">
        <v>14</v>
      </c>
      <c r="F1210" s="2" t="str">
        <f t="shared" si="54"/>
        <v>Jan</v>
      </c>
      <c r="G1210" s="2">
        <f t="shared" si="55"/>
        <v>2024</v>
      </c>
      <c r="H1210" s="2">
        <f t="shared" si="56"/>
        <v>1348</v>
      </c>
    </row>
    <row r="1211" spans="1:8" x14ac:dyDescent="0.25">
      <c r="A1211" s="1">
        <v>45305</v>
      </c>
      <c r="B1211" t="s">
        <v>1226</v>
      </c>
      <c r="C1211" t="s">
        <v>25</v>
      </c>
      <c r="D1211">
        <v>1013.18</v>
      </c>
      <c r="E1211" t="s">
        <v>7</v>
      </c>
      <c r="F1211" s="2" t="str">
        <f t="shared" si="54"/>
        <v>Jan</v>
      </c>
      <c r="G1211" s="2">
        <f t="shared" si="55"/>
        <v>2024</v>
      </c>
      <c r="H1211" s="2">
        <f t="shared" si="56"/>
        <v>-1013.18</v>
      </c>
    </row>
    <row r="1212" spans="1:8" x14ac:dyDescent="0.25">
      <c r="A1212" s="1">
        <v>45306</v>
      </c>
      <c r="B1212" t="s">
        <v>1227</v>
      </c>
      <c r="C1212" t="s">
        <v>22</v>
      </c>
      <c r="D1212">
        <v>554.46</v>
      </c>
      <c r="E1212" t="s">
        <v>7</v>
      </c>
      <c r="F1212" s="2" t="str">
        <f t="shared" si="54"/>
        <v>Jan</v>
      </c>
      <c r="G1212" s="2">
        <f t="shared" si="55"/>
        <v>2024</v>
      </c>
      <c r="H1212" s="2">
        <f t="shared" si="56"/>
        <v>-554.46</v>
      </c>
    </row>
    <row r="1213" spans="1:8" x14ac:dyDescent="0.25">
      <c r="A1213" s="1">
        <v>45307</v>
      </c>
      <c r="B1213" t="s">
        <v>1228</v>
      </c>
      <c r="C1213" t="s">
        <v>35</v>
      </c>
      <c r="D1213">
        <v>911.16</v>
      </c>
      <c r="E1213" t="s">
        <v>7</v>
      </c>
      <c r="F1213" s="2" t="str">
        <f t="shared" si="54"/>
        <v>Jan</v>
      </c>
      <c r="G1213" s="2">
        <f t="shared" si="55"/>
        <v>2024</v>
      </c>
      <c r="H1213" s="2">
        <f t="shared" si="56"/>
        <v>-911.16</v>
      </c>
    </row>
    <row r="1214" spans="1:8" x14ac:dyDescent="0.25">
      <c r="A1214" s="1">
        <v>45307</v>
      </c>
      <c r="B1214" t="s">
        <v>1229</v>
      </c>
      <c r="C1214" t="s">
        <v>20</v>
      </c>
      <c r="D1214">
        <v>4696</v>
      </c>
      <c r="E1214" t="s">
        <v>14</v>
      </c>
      <c r="F1214" s="2" t="str">
        <f t="shared" si="54"/>
        <v>Jan</v>
      </c>
      <c r="G1214" s="2">
        <f t="shared" si="55"/>
        <v>2024</v>
      </c>
      <c r="H1214" s="2">
        <f t="shared" si="56"/>
        <v>4696</v>
      </c>
    </row>
    <row r="1215" spans="1:8" x14ac:dyDescent="0.25">
      <c r="A1215" s="1">
        <v>45307</v>
      </c>
      <c r="B1215" t="s">
        <v>1230</v>
      </c>
      <c r="C1215" t="s">
        <v>25</v>
      </c>
      <c r="D1215">
        <v>1426.63</v>
      </c>
      <c r="E1215" t="s">
        <v>7</v>
      </c>
      <c r="F1215" s="2" t="str">
        <f t="shared" si="54"/>
        <v>Jan</v>
      </c>
      <c r="G1215" s="2">
        <f t="shared" si="55"/>
        <v>2024</v>
      </c>
      <c r="H1215" s="2">
        <f t="shared" si="56"/>
        <v>-1426.63</v>
      </c>
    </row>
    <row r="1216" spans="1:8" x14ac:dyDescent="0.25">
      <c r="A1216" s="1">
        <v>45308</v>
      </c>
      <c r="B1216" t="s">
        <v>1231</v>
      </c>
      <c r="C1216" t="s">
        <v>22</v>
      </c>
      <c r="D1216">
        <v>409.77</v>
      </c>
      <c r="E1216" t="s">
        <v>7</v>
      </c>
      <c r="F1216" s="2" t="str">
        <f t="shared" si="54"/>
        <v>Jan</v>
      </c>
      <c r="G1216" s="2">
        <f t="shared" si="55"/>
        <v>2024</v>
      </c>
      <c r="H1216" s="2">
        <f t="shared" si="56"/>
        <v>-409.77</v>
      </c>
    </row>
    <row r="1217" spans="1:8" x14ac:dyDescent="0.25">
      <c r="A1217" s="1">
        <v>45310</v>
      </c>
      <c r="B1217" t="s">
        <v>1232</v>
      </c>
      <c r="C1217" t="s">
        <v>35</v>
      </c>
      <c r="D1217">
        <v>1376.36</v>
      </c>
      <c r="E1217" t="s">
        <v>7</v>
      </c>
      <c r="F1217" s="2" t="str">
        <f t="shared" si="54"/>
        <v>Jan</v>
      </c>
      <c r="G1217" s="2">
        <f t="shared" si="55"/>
        <v>2024</v>
      </c>
      <c r="H1217" s="2">
        <f t="shared" si="56"/>
        <v>-1376.36</v>
      </c>
    </row>
    <row r="1218" spans="1:8" x14ac:dyDescent="0.25">
      <c r="A1218" s="1">
        <v>45310</v>
      </c>
      <c r="B1218" t="s">
        <v>1233</v>
      </c>
      <c r="C1218" t="s">
        <v>9</v>
      </c>
      <c r="D1218">
        <v>1962.86</v>
      </c>
      <c r="E1218" t="s">
        <v>7</v>
      </c>
      <c r="F1218" s="2" t="str">
        <f t="shared" ref="F1218:F1281" si="57">TEXT(A1218,"mmm")</f>
        <v>Jan</v>
      </c>
      <c r="G1218" s="2">
        <f t="shared" ref="G1218:G1281" si="58">YEAR(A1218)</f>
        <v>2024</v>
      </c>
      <c r="H1218" s="2">
        <f t="shared" ref="H1218:H1281" si="59">IF(E1218="Income",D1218,-D1218)</f>
        <v>-1962.86</v>
      </c>
    </row>
    <row r="1219" spans="1:8" x14ac:dyDescent="0.25">
      <c r="A1219" s="1">
        <v>45310</v>
      </c>
      <c r="B1219" t="s">
        <v>1234</v>
      </c>
      <c r="C1219" t="s">
        <v>9</v>
      </c>
      <c r="D1219">
        <v>1012.75</v>
      </c>
      <c r="E1219" t="s">
        <v>7</v>
      </c>
      <c r="F1219" s="2" t="str">
        <f t="shared" si="57"/>
        <v>Jan</v>
      </c>
      <c r="G1219" s="2">
        <f t="shared" si="58"/>
        <v>2024</v>
      </c>
      <c r="H1219" s="2">
        <f t="shared" si="59"/>
        <v>-1012.75</v>
      </c>
    </row>
    <row r="1220" spans="1:8" x14ac:dyDescent="0.25">
      <c r="A1220" s="1">
        <v>45310</v>
      </c>
      <c r="B1220" t="s">
        <v>1235</v>
      </c>
      <c r="C1220" t="s">
        <v>25</v>
      </c>
      <c r="D1220">
        <v>1423.6</v>
      </c>
      <c r="E1220" t="s">
        <v>7</v>
      </c>
      <c r="F1220" s="2" t="str">
        <f t="shared" si="57"/>
        <v>Jan</v>
      </c>
      <c r="G1220" s="2">
        <f t="shared" si="58"/>
        <v>2024</v>
      </c>
      <c r="H1220" s="2">
        <f t="shared" si="59"/>
        <v>-1423.6</v>
      </c>
    </row>
    <row r="1221" spans="1:8" x14ac:dyDescent="0.25">
      <c r="A1221" s="1">
        <v>45311</v>
      </c>
      <c r="B1221" t="s">
        <v>1236</v>
      </c>
      <c r="C1221" t="s">
        <v>27</v>
      </c>
      <c r="D1221">
        <v>1169.78</v>
      </c>
      <c r="E1221" t="s">
        <v>7</v>
      </c>
      <c r="F1221" s="2" t="str">
        <f t="shared" si="57"/>
        <v>Jan</v>
      </c>
      <c r="G1221" s="2">
        <f t="shared" si="58"/>
        <v>2024</v>
      </c>
      <c r="H1221" s="2">
        <f t="shared" si="59"/>
        <v>-1169.78</v>
      </c>
    </row>
    <row r="1222" spans="1:8" x14ac:dyDescent="0.25">
      <c r="A1222" s="1">
        <v>45313</v>
      </c>
      <c r="B1222" t="s">
        <v>1237</v>
      </c>
      <c r="C1222" t="s">
        <v>17</v>
      </c>
      <c r="D1222">
        <v>1351.74</v>
      </c>
      <c r="E1222" t="s">
        <v>7</v>
      </c>
      <c r="F1222" s="2" t="str">
        <f t="shared" si="57"/>
        <v>Jan</v>
      </c>
      <c r="G1222" s="2">
        <f t="shared" si="58"/>
        <v>2024</v>
      </c>
      <c r="H1222" s="2">
        <f t="shared" si="59"/>
        <v>-1351.74</v>
      </c>
    </row>
    <row r="1223" spans="1:8" x14ac:dyDescent="0.25">
      <c r="A1223" s="1">
        <v>45314</v>
      </c>
      <c r="B1223" t="s">
        <v>1238</v>
      </c>
      <c r="C1223" t="s">
        <v>35</v>
      </c>
      <c r="D1223">
        <v>1756.18</v>
      </c>
      <c r="E1223" t="s">
        <v>7</v>
      </c>
      <c r="F1223" s="2" t="str">
        <f t="shared" si="57"/>
        <v>Jan</v>
      </c>
      <c r="G1223" s="2">
        <f t="shared" si="58"/>
        <v>2024</v>
      </c>
      <c r="H1223" s="2">
        <f t="shared" si="59"/>
        <v>-1756.18</v>
      </c>
    </row>
    <row r="1224" spans="1:8" x14ac:dyDescent="0.25">
      <c r="A1224" s="1">
        <v>45315</v>
      </c>
      <c r="B1224" t="s">
        <v>1239</v>
      </c>
      <c r="C1224" t="s">
        <v>6</v>
      </c>
      <c r="D1224">
        <v>1050.23</v>
      </c>
      <c r="E1224" t="s">
        <v>7</v>
      </c>
      <c r="F1224" s="2" t="str">
        <f t="shared" si="57"/>
        <v>Jan</v>
      </c>
      <c r="G1224" s="2">
        <f t="shared" si="58"/>
        <v>2024</v>
      </c>
      <c r="H1224" s="2">
        <f t="shared" si="59"/>
        <v>-1050.23</v>
      </c>
    </row>
    <row r="1225" spans="1:8" x14ac:dyDescent="0.25">
      <c r="A1225" s="1">
        <v>45316</v>
      </c>
      <c r="B1225" t="s">
        <v>1240</v>
      </c>
      <c r="C1225" t="s">
        <v>13</v>
      </c>
      <c r="D1225">
        <v>934</v>
      </c>
      <c r="E1225" t="s">
        <v>14</v>
      </c>
      <c r="F1225" s="2" t="str">
        <f t="shared" si="57"/>
        <v>Jan</v>
      </c>
      <c r="G1225" s="2">
        <f t="shared" si="58"/>
        <v>2024</v>
      </c>
      <c r="H1225" s="2">
        <f t="shared" si="59"/>
        <v>934</v>
      </c>
    </row>
    <row r="1226" spans="1:8" x14ac:dyDescent="0.25">
      <c r="A1226" s="1">
        <v>45317</v>
      </c>
      <c r="B1226" t="s">
        <v>1241</v>
      </c>
      <c r="C1226" t="s">
        <v>22</v>
      </c>
      <c r="D1226">
        <v>541.29</v>
      </c>
      <c r="E1226" t="s">
        <v>7</v>
      </c>
      <c r="F1226" s="2" t="str">
        <f t="shared" si="57"/>
        <v>Jan</v>
      </c>
      <c r="G1226" s="2">
        <f t="shared" si="58"/>
        <v>2024</v>
      </c>
      <c r="H1226" s="2">
        <f t="shared" si="59"/>
        <v>-541.29</v>
      </c>
    </row>
    <row r="1227" spans="1:8" x14ac:dyDescent="0.25">
      <c r="A1227" s="1">
        <v>45317</v>
      </c>
      <c r="B1227" t="s">
        <v>1242</v>
      </c>
      <c r="C1227" t="s">
        <v>35</v>
      </c>
      <c r="D1227">
        <v>1369.95</v>
      </c>
      <c r="E1227" t="s">
        <v>7</v>
      </c>
      <c r="F1227" s="2" t="str">
        <f t="shared" si="57"/>
        <v>Jan</v>
      </c>
      <c r="G1227" s="2">
        <f t="shared" si="58"/>
        <v>2024</v>
      </c>
      <c r="H1227" s="2">
        <f t="shared" si="59"/>
        <v>-1369.95</v>
      </c>
    </row>
    <row r="1228" spans="1:8" x14ac:dyDescent="0.25">
      <c r="A1228" s="1">
        <v>45317</v>
      </c>
      <c r="B1228" t="s">
        <v>1243</v>
      </c>
      <c r="C1228" t="s">
        <v>13</v>
      </c>
      <c r="D1228">
        <v>2917</v>
      </c>
      <c r="E1228" t="s">
        <v>14</v>
      </c>
      <c r="F1228" s="2" t="str">
        <f t="shared" si="57"/>
        <v>Jan</v>
      </c>
      <c r="G1228" s="2">
        <f t="shared" si="58"/>
        <v>2024</v>
      </c>
      <c r="H1228" s="2">
        <f t="shared" si="59"/>
        <v>2917</v>
      </c>
    </row>
    <row r="1229" spans="1:8" x14ac:dyDescent="0.25">
      <c r="A1229" s="1">
        <v>45318</v>
      </c>
      <c r="B1229" t="s">
        <v>1244</v>
      </c>
      <c r="C1229" t="s">
        <v>6</v>
      </c>
      <c r="D1229">
        <v>723.78</v>
      </c>
      <c r="E1229" t="s">
        <v>7</v>
      </c>
      <c r="F1229" s="2" t="str">
        <f t="shared" si="57"/>
        <v>Jan</v>
      </c>
      <c r="G1229" s="2">
        <f t="shared" si="58"/>
        <v>2024</v>
      </c>
      <c r="H1229" s="2">
        <f t="shared" si="59"/>
        <v>-723.78</v>
      </c>
    </row>
    <row r="1230" spans="1:8" x14ac:dyDescent="0.25">
      <c r="A1230" s="1">
        <v>45319</v>
      </c>
      <c r="B1230" t="s">
        <v>1245</v>
      </c>
      <c r="C1230" t="s">
        <v>22</v>
      </c>
      <c r="D1230">
        <v>1487.4</v>
      </c>
      <c r="E1230" t="s">
        <v>7</v>
      </c>
      <c r="F1230" s="2" t="str">
        <f t="shared" si="57"/>
        <v>Jan</v>
      </c>
      <c r="G1230" s="2">
        <f t="shared" si="58"/>
        <v>2024</v>
      </c>
      <c r="H1230" s="2">
        <f t="shared" si="59"/>
        <v>-1487.4</v>
      </c>
    </row>
    <row r="1231" spans="1:8" x14ac:dyDescent="0.25">
      <c r="A1231" s="1">
        <v>45321</v>
      </c>
      <c r="B1231" t="s">
        <v>1246</v>
      </c>
      <c r="C1231" t="s">
        <v>22</v>
      </c>
      <c r="D1231">
        <v>1026.74</v>
      </c>
      <c r="E1231" t="s">
        <v>7</v>
      </c>
      <c r="F1231" s="2" t="str">
        <f t="shared" si="57"/>
        <v>Jan</v>
      </c>
      <c r="G1231" s="2">
        <f t="shared" si="58"/>
        <v>2024</v>
      </c>
      <c r="H1231" s="2">
        <f t="shared" si="59"/>
        <v>-1026.74</v>
      </c>
    </row>
    <row r="1232" spans="1:8" x14ac:dyDescent="0.25">
      <c r="A1232" s="1">
        <v>45323</v>
      </c>
      <c r="B1232" t="s">
        <v>1247</v>
      </c>
      <c r="C1232" t="s">
        <v>35</v>
      </c>
      <c r="D1232">
        <v>1388.94</v>
      </c>
      <c r="E1232" t="s">
        <v>7</v>
      </c>
      <c r="F1232" s="2" t="str">
        <f t="shared" si="57"/>
        <v>Feb</v>
      </c>
      <c r="G1232" s="2">
        <f t="shared" si="58"/>
        <v>2024</v>
      </c>
      <c r="H1232" s="2">
        <f t="shared" si="59"/>
        <v>-1388.94</v>
      </c>
    </row>
    <row r="1233" spans="1:8" x14ac:dyDescent="0.25">
      <c r="A1233" s="1">
        <v>45328</v>
      </c>
      <c r="B1233" t="s">
        <v>1248</v>
      </c>
      <c r="C1233" t="s">
        <v>20</v>
      </c>
      <c r="D1233">
        <v>3674</v>
      </c>
      <c r="E1233" t="s">
        <v>14</v>
      </c>
      <c r="F1233" s="2" t="str">
        <f t="shared" si="57"/>
        <v>Feb</v>
      </c>
      <c r="G1233" s="2">
        <f t="shared" si="58"/>
        <v>2024</v>
      </c>
      <c r="H1233" s="2">
        <f t="shared" si="59"/>
        <v>3674</v>
      </c>
    </row>
    <row r="1234" spans="1:8" x14ac:dyDescent="0.25">
      <c r="A1234" s="1">
        <v>45329</v>
      </c>
      <c r="B1234" t="s">
        <v>1249</v>
      </c>
      <c r="C1234" t="s">
        <v>25</v>
      </c>
      <c r="D1234">
        <v>1932.01</v>
      </c>
      <c r="E1234" t="s">
        <v>7</v>
      </c>
      <c r="F1234" s="2" t="str">
        <f t="shared" si="57"/>
        <v>Feb</v>
      </c>
      <c r="G1234" s="2">
        <f t="shared" si="58"/>
        <v>2024</v>
      </c>
      <c r="H1234" s="2">
        <f t="shared" si="59"/>
        <v>-1932.01</v>
      </c>
    </row>
    <row r="1235" spans="1:8" x14ac:dyDescent="0.25">
      <c r="A1235" s="1">
        <v>45329</v>
      </c>
      <c r="B1235" t="s">
        <v>1250</v>
      </c>
      <c r="C1235" t="s">
        <v>20</v>
      </c>
      <c r="D1235">
        <v>2163</v>
      </c>
      <c r="E1235" t="s">
        <v>14</v>
      </c>
      <c r="F1235" s="2" t="str">
        <f t="shared" si="57"/>
        <v>Feb</v>
      </c>
      <c r="G1235" s="2">
        <f t="shared" si="58"/>
        <v>2024</v>
      </c>
      <c r="H1235" s="2">
        <f t="shared" si="59"/>
        <v>2163</v>
      </c>
    </row>
    <row r="1236" spans="1:8" x14ac:dyDescent="0.25">
      <c r="A1236" s="1">
        <v>45332</v>
      </c>
      <c r="B1236" t="s">
        <v>1251</v>
      </c>
      <c r="C1236" t="s">
        <v>27</v>
      </c>
      <c r="D1236">
        <v>1661.67</v>
      </c>
      <c r="E1236" t="s">
        <v>7</v>
      </c>
      <c r="F1236" s="2" t="str">
        <f t="shared" si="57"/>
        <v>Feb</v>
      </c>
      <c r="G1236" s="2">
        <f t="shared" si="58"/>
        <v>2024</v>
      </c>
      <c r="H1236" s="2">
        <f t="shared" si="59"/>
        <v>-1661.67</v>
      </c>
    </row>
    <row r="1237" spans="1:8" x14ac:dyDescent="0.25">
      <c r="A1237" s="1">
        <v>45332</v>
      </c>
      <c r="B1237" t="s">
        <v>1252</v>
      </c>
      <c r="C1237" t="s">
        <v>25</v>
      </c>
      <c r="D1237">
        <v>1512.66</v>
      </c>
      <c r="E1237" t="s">
        <v>7</v>
      </c>
      <c r="F1237" s="2" t="str">
        <f t="shared" si="57"/>
        <v>Feb</v>
      </c>
      <c r="G1237" s="2">
        <f t="shared" si="58"/>
        <v>2024</v>
      </c>
      <c r="H1237" s="2">
        <f t="shared" si="59"/>
        <v>-1512.66</v>
      </c>
    </row>
    <row r="1238" spans="1:8" x14ac:dyDescent="0.25">
      <c r="A1238" s="1">
        <v>45332</v>
      </c>
      <c r="B1238" t="s">
        <v>1253</v>
      </c>
      <c r="C1238" t="s">
        <v>22</v>
      </c>
      <c r="D1238">
        <v>1554.53</v>
      </c>
      <c r="E1238" t="s">
        <v>7</v>
      </c>
      <c r="F1238" s="2" t="str">
        <f t="shared" si="57"/>
        <v>Feb</v>
      </c>
      <c r="G1238" s="2">
        <f t="shared" si="58"/>
        <v>2024</v>
      </c>
      <c r="H1238" s="2">
        <f t="shared" si="59"/>
        <v>-1554.53</v>
      </c>
    </row>
    <row r="1239" spans="1:8" x14ac:dyDescent="0.25">
      <c r="A1239" s="1">
        <v>45336</v>
      </c>
      <c r="B1239" t="s">
        <v>1254</v>
      </c>
      <c r="C1239" t="s">
        <v>35</v>
      </c>
      <c r="D1239">
        <v>903.14</v>
      </c>
      <c r="E1239" t="s">
        <v>7</v>
      </c>
      <c r="F1239" s="2" t="str">
        <f t="shared" si="57"/>
        <v>Feb</v>
      </c>
      <c r="G1239" s="2">
        <f t="shared" si="58"/>
        <v>2024</v>
      </c>
      <c r="H1239" s="2">
        <f t="shared" si="59"/>
        <v>-903.14</v>
      </c>
    </row>
    <row r="1240" spans="1:8" x14ac:dyDescent="0.25">
      <c r="A1240" s="1">
        <v>45336</v>
      </c>
      <c r="B1240" t="s">
        <v>1255</v>
      </c>
      <c r="C1240" t="s">
        <v>11</v>
      </c>
      <c r="D1240">
        <v>382.08</v>
      </c>
      <c r="E1240" t="s">
        <v>7</v>
      </c>
      <c r="F1240" s="2" t="str">
        <f t="shared" si="57"/>
        <v>Feb</v>
      </c>
      <c r="G1240" s="2">
        <f t="shared" si="58"/>
        <v>2024</v>
      </c>
      <c r="H1240" s="2">
        <f t="shared" si="59"/>
        <v>-382.08</v>
      </c>
    </row>
    <row r="1241" spans="1:8" x14ac:dyDescent="0.25">
      <c r="A1241" s="1">
        <v>45337</v>
      </c>
      <c r="B1241" t="s">
        <v>1256</v>
      </c>
      <c r="C1241" t="s">
        <v>13</v>
      </c>
      <c r="D1241">
        <v>3590</v>
      </c>
      <c r="E1241" t="s">
        <v>14</v>
      </c>
      <c r="F1241" s="2" t="str">
        <f t="shared" si="57"/>
        <v>Feb</v>
      </c>
      <c r="G1241" s="2">
        <f t="shared" si="58"/>
        <v>2024</v>
      </c>
      <c r="H1241" s="2">
        <f t="shared" si="59"/>
        <v>3590</v>
      </c>
    </row>
    <row r="1242" spans="1:8" x14ac:dyDescent="0.25">
      <c r="A1242" s="1">
        <v>45338</v>
      </c>
      <c r="B1242" t="s">
        <v>1257</v>
      </c>
      <c r="C1242" t="s">
        <v>20</v>
      </c>
      <c r="D1242">
        <v>2664</v>
      </c>
      <c r="E1242" t="s">
        <v>14</v>
      </c>
      <c r="F1242" s="2" t="str">
        <f t="shared" si="57"/>
        <v>Feb</v>
      </c>
      <c r="G1242" s="2">
        <f t="shared" si="58"/>
        <v>2024</v>
      </c>
      <c r="H1242" s="2">
        <f t="shared" si="59"/>
        <v>2664</v>
      </c>
    </row>
    <row r="1243" spans="1:8" x14ac:dyDescent="0.25">
      <c r="A1243" s="1">
        <v>45339</v>
      </c>
      <c r="B1243" t="s">
        <v>1258</v>
      </c>
      <c r="C1243" t="s">
        <v>20</v>
      </c>
      <c r="D1243">
        <v>546</v>
      </c>
      <c r="E1243" t="s">
        <v>14</v>
      </c>
      <c r="F1243" s="2" t="str">
        <f t="shared" si="57"/>
        <v>Feb</v>
      </c>
      <c r="G1243" s="2">
        <f t="shared" si="58"/>
        <v>2024</v>
      </c>
      <c r="H1243" s="2">
        <f t="shared" si="59"/>
        <v>546</v>
      </c>
    </row>
    <row r="1244" spans="1:8" x14ac:dyDescent="0.25">
      <c r="A1244" s="1">
        <v>45341</v>
      </c>
      <c r="B1244" t="s">
        <v>1259</v>
      </c>
      <c r="C1244" t="s">
        <v>9</v>
      </c>
      <c r="D1244">
        <v>89.48</v>
      </c>
      <c r="E1244" t="s">
        <v>7</v>
      </c>
      <c r="F1244" s="2" t="str">
        <f t="shared" si="57"/>
        <v>Feb</v>
      </c>
      <c r="G1244" s="2">
        <f t="shared" si="58"/>
        <v>2024</v>
      </c>
      <c r="H1244" s="2">
        <f t="shared" si="59"/>
        <v>-89.48</v>
      </c>
    </row>
    <row r="1245" spans="1:8" x14ac:dyDescent="0.25">
      <c r="A1245" s="1">
        <v>45343</v>
      </c>
      <c r="B1245" t="s">
        <v>1260</v>
      </c>
      <c r="C1245" t="s">
        <v>6</v>
      </c>
      <c r="D1245">
        <v>1549.59</v>
      </c>
      <c r="E1245" t="s">
        <v>7</v>
      </c>
      <c r="F1245" s="2" t="str">
        <f t="shared" si="57"/>
        <v>Feb</v>
      </c>
      <c r="G1245" s="2">
        <f t="shared" si="58"/>
        <v>2024</v>
      </c>
      <c r="H1245" s="2">
        <f t="shared" si="59"/>
        <v>-1549.59</v>
      </c>
    </row>
    <row r="1246" spans="1:8" x14ac:dyDescent="0.25">
      <c r="A1246" s="1">
        <v>45343</v>
      </c>
      <c r="B1246" t="s">
        <v>1261</v>
      </c>
      <c r="C1246" t="s">
        <v>35</v>
      </c>
      <c r="D1246">
        <v>986.2</v>
      </c>
      <c r="E1246" t="s">
        <v>7</v>
      </c>
      <c r="F1246" s="2" t="str">
        <f t="shared" si="57"/>
        <v>Feb</v>
      </c>
      <c r="G1246" s="2">
        <f t="shared" si="58"/>
        <v>2024</v>
      </c>
      <c r="H1246" s="2">
        <f t="shared" si="59"/>
        <v>-986.2</v>
      </c>
    </row>
    <row r="1247" spans="1:8" x14ac:dyDescent="0.25">
      <c r="A1247" s="1">
        <v>45343</v>
      </c>
      <c r="B1247" t="s">
        <v>1262</v>
      </c>
      <c r="C1247" t="s">
        <v>25</v>
      </c>
      <c r="D1247">
        <v>155.03</v>
      </c>
      <c r="E1247" t="s">
        <v>7</v>
      </c>
      <c r="F1247" s="2" t="str">
        <f t="shared" si="57"/>
        <v>Feb</v>
      </c>
      <c r="G1247" s="2">
        <f t="shared" si="58"/>
        <v>2024</v>
      </c>
      <c r="H1247" s="2">
        <f t="shared" si="59"/>
        <v>-155.03</v>
      </c>
    </row>
    <row r="1248" spans="1:8" x14ac:dyDescent="0.25">
      <c r="A1248" s="1">
        <v>45344</v>
      </c>
      <c r="B1248" t="s">
        <v>1263</v>
      </c>
      <c r="C1248" t="s">
        <v>22</v>
      </c>
      <c r="D1248">
        <v>1914.41</v>
      </c>
      <c r="E1248" t="s">
        <v>7</v>
      </c>
      <c r="F1248" s="2" t="str">
        <f t="shared" si="57"/>
        <v>Feb</v>
      </c>
      <c r="G1248" s="2">
        <f t="shared" si="58"/>
        <v>2024</v>
      </c>
      <c r="H1248" s="2">
        <f t="shared" si="59"/>
        <v>-1914.41</v>
      </c>
    </row>
    <row r="1249" spans="1:8" x14ac:dyDescent="0.25">
      <c r="A1249" s="1">
        <v>45345</v>
      </c>
      <c r="B1249" t="s">
        <v>1264</v>
      </c>
      <c r="C1249" t="s">
        <v>9</v>
      </c>
      <c r="D1249">
        <v>837.7</v>
      </c>
      <c r="E1249" t="s">
        <v>7</v>
      </c>
      <c r="F1249" s="2" t="str">
        <f t="shared" si="57"/>
        <v>Feb</v>
      </c>
      <c r="G1249" s="2">
        <f t="shared" si="58"/>
        <v>2024</v>
      </c>
      <c r="H1249" s="2">
        <f t="shared" si="59"/>
        <v>-837.7</v>
      </c>
    </row>
    <row r="1250" spans="1:8" x14ac:dyDescent="0.25">
      <c r="A1250" s="1">
        <v>45345</v>
      </c>
      <c r="B1250" t="s">
        <v>1265</v>
      </c>
      <c r="C1250" t="s">
        <v>11</v>
      </c>
      <c r="D1250">
        <v>705.31</v>
      </c>
      <c r="E1250" t="s">
        <v>7</v>
      </c>
      <c r="F1250" s="2" t="str">
        <f t="shared" si="57"/>
        <v>Feb</v>
      </c>
      <c r="G1250" s="2">
        <f t="shared" si="58"/>
        <v>2024</v>
      </c>
      <c r="H1250" s="2">
        <f t="shared" si="59"/>
        <v>-705.31</v>
      </c>
    </row>
    <row r="1251" spans="1:8" x14ac:dyDescent="0.25">
      <c r="A1251" s="1">
        <v>45346</v>
      </c>
      <c r="B1251" t="s">
        <v>1266</v>
      </c>
      <c r="C1251" t="s">
        <v>25</v>
      </c>
      <c r="D1251">
        <v>668.82</v>
      </c>
      <c r="E1251" t="s">
        <v>7</v>
      </c>
      <c r="F1251" s="2" t="str">
        <f t="shared" si="57"/>
        <v>Feb</v>
      </c>
      <c r="G1251" s="2">
        <f t="shared" si="58"/>
        <v>2024</v>
      </c>
      <c r="H1251" s="2">
        <f t="shared" si="59"/>
        <v>-668.82</v>
      </c>
    </row>
    <row r="1252" spans="1:8" x14ac:dyDescent="0.25">
      <c r="A1252" s="1">
        <v>45346</v>
      </c>
      <c r="B1252" t="s">
        <v>1267</v>
      </c>
      <c r="C1252" t="s">
        <v>27</v>
      </c>
      <c r="D1252">
        <v>1993.3</v>
      </c>
      <c r="E1252" t="s">
        <v>7</v>
      </c>
      <c r="F1252" s="2" t="str">
        <f t="shared" si="57"/>
        <v>Feb</v>
      </c>
      <c r="G1252" s="2">
        <f t="shared" si="58"/>
        <v>2024</v>
      </c>
      <c r="H1252" s="2">
        <f t="shared" si="59"/>
        <v>-1993.3</v>
      </c>
    </row>
    <row r="1253" spans="1:8" x14ac:dyDescent="0.25">
      <c r="A1253" s="1">
        <v>45347</v>
      </c>
      <c r="B1253" t="s">
        <v>1268</v>
      </c>
      <c r="C1253" t="s">
        <v>6</v>
      </c>
      <c r="D1253">
        <v>238.3</v>
      </c>
      <c r="E1253" t="s">
        <v>7</v>
      </c>
      <c r="F1253" s="2" t="str">
        <f t="shared" si="57"/>
        <v>Feb</v>
      </c>
      <c r="G1253" s="2">
        <f t="shared" si="58"/>
        <v>2024</v>
      </c>
      <c r="H1253" s="2">
        <f t="shared" si="59"/>
        <v>-238.3</v>
      </c>
    </row>
    <row r="1254" spans="1:8" x14ac:dyDescent="0.25">
      <c r="A1254" s="1">
        <v>45349</v>
      </c>
      <c r="B1254" t="s">
        <v>1269</v>
      </c>
      <c r="C1254" t="s">
        <v>22</v>
      </c>
      <c r="D1254">
        <v>1809.95</v>
      </c>
      <c r="E1254" t="s">
        <v>7</v>
      </c>
      <c r="F1254" s="2" t="str">
        <f t="shared" si="57"/>
        <v>Feb</v>
      </c>
      <c r="G1254" s="2">
        <f t="shared" si="58"/>
        <v>2024</v>
      </c>
      <c r="H1254" s="2">
        <f t="shared" si="59"/>
        <v>-1809.95</v>
      </c>
    </row>
    <row r="1255" spans="1:8" x14ac:dyDescent="0.25">
      <c r="A1255" s="1">
        <v>45349</v>
      </c>
      <c r="B1255" t="s">
        <v>1270</v>
      </c>
      <c r="C1255" t="s">
        <v>22</v>
      </c>
      <c r="D1255">
        <v>1918.2</v>
      </c>
      <c r="E1255" t="s">
        <v>7</v>
      </c>
      <c r="F1255" s="2" t="str">
        <f t="shared" si="57"/>
        <v>Feb</v>
      </c>
      <c r="G1255" s="2">
        <f t="shared" si="58"/>
        <v>2024</v>
      </c>
      <c r="H1255" s="2">
        <f t="shared" si="59"/>
        <v>-1918.2</v>
      </c>
    </row>
    <row r="1256" spans="1:8" x14ac:dyDescent="0.25">
      <c r="A1256" s="1">
        <v>45349</v>
      </c>
      <c r="B1256" t="s">
        <v>1271</v>
      </c>
      <c r="C1256" t="s">
        <v>25</v>
      </c>
      <c r="D1256">
        <v>768.93</v>
      </c>
      <c r="E1256" t="s">
        <v>7</v>
      </c>
      <c r="F1256" s="2" t="str">
        <f t="shared" si="57"/>
        <v>Feb</v>
      </c>
      <c r="G1256" s="2">
        <f t="shared" si="58"/>
        <v>2024</v>
      </c>
      <c r="H1256" s="2">
        <f t="shared" si="59"/>
        <v>-768.93</v>
      </c>
    </row>
    <row r="1257" spans="1:8" x14ac:dyDescent="0.25">
      <c r="A1257" s="1">
        <v>45350</v>
      </c>
      <c r="B1257" t="s">
        <v>1272</v>
      </c>
      <c r="C1257" t="s">
        <v>11</v>
      </c>
      <c r="D1257">
        <v>777.89</v>
      </c>
      <c r="E1257" t="s">
        <v>7</v>
      </c>
      <c r="F1257" s="2" t="str">
        <f t="shared" si="57"/>
        <v>Feb</v>
      </c>
      <c r="G1257" s="2">
        <f t="shared" si="58"/>
        <v>2024</v>
      </c>
      <c r="H1257" s="2">
        <f t="shared" si="59"/>
        <v>-777.89</v>
      </c>
    </row>
    <row r="1258" spans="1:8" x14ac:dyDescent="0.25">
      <c r="A1258" s="1">
        <v>45351</v>
      </c>
      <c r="B1258" t="s">
        <v>1273</v>
      </c>
      <c r="C1258" t="s">
        <v>35</v>
      </c>
      <c r="D1258">
        <v>59.16</v>
      </c>
      <c r="E1258" t="s">
        <v>7</v>
      </c>
      <c r="F1258" s="2" t="str">
        <f t="shared" si="57"/>
        <v>Feb</v>
      </c>
      <c r="G1258" s="2">
        <f t="shared" si="58"/>
        <v>2024</v>
      </c>
      <c r="H1258" s="2">
        <f t="shared" si="59"/>
        <v>-59.16</v>
      </c>
    </row>
    <row r="1259" spans="1:8" x14ac:dyDescent="0.25">
      <c r="A1259" s="1">
        <v>45353</v>
      </c>
      <c r="B1259" t="s">
        <v>1274</v>
      </c>
      <c r="C1259" t="s">
        <v>25</v>
      </c>
      <c r="D1259">
        <v>1033.48</v>
      </c>
      <c r="E1259" t="s">
        <v>7</v>
      </c>
      <c r="F1259" s="2" t="str">
        <f t="shared" si="57"/>
        <v>Mar</v>
      </c>
      <c r="G1259" s="2">
        <f t="shared" si="58"/>
        <v>2024</v>
      </c>
      <c r="H1259" s="2">
        <f t="shared" si="59"/>
        <v>-1033.48</v>
      </c>
    </row>
    <row r="1260" spans="1:8" x14ac:dyDescent="0.25">
      <c r="A1260" s="1">
        <v>45354</v>
      </c>
      <c r="B1260" t="s">
        <v>1275</v>
      </c>
      <c r="C1260" t="s">
        <v>27</v>
      </c>
      <c r="D1260">
        <v>97.26</v>
      </c>
      <c r="E1260" t="s">
        <v>7</v>
      </c>
      <c r="F1260" s="2" t="str">
        <f t="shared" si="57"/>
        <v>Mar</v>
      </c>
      <c r="G1260" s="2">
        <f t="shared" si="58"/>
        <v>2024</v>
      </c>
      <c r="H1260" s="2">
        <f t="shared" si="59"/>
        <v>-97.26</v>
      </c>
    </row>
    <row r="1261" spans="1:8" x14ac:dyDescent="0.25">
      <c r="A1261" s="1">
        <v>45356</v>
      </c>
      <c r="B1261" t="s">
        <v>1276</v>
      </c>
      <c r="C1261" t="s">
        <v>22</v>
      </c>
      <c r="D1261">
        <v>647.41999999999996</v>
      </c>
      <c r="E1261" t="s">
        <v>7</v>
      </c>
      <c r="F1261" s="2" t="str">
        <f t="shared" si="57"/>
        <v>Mar</v>
      </c>
      <c r="G1261" s="2">
        <f t="shared" si="58"/>
        <v>2024</v>
      </c>
      <c r="H1261" s="2">
        <f t="shared" si="59"/>
        <v>-647.41999999999996</v>
      </c>
    </row>
    <row r="1262" spans="1:8" x14ac:dyDescent="0.25">
      <c r="A1262" s="1">
        <v>45356</v>
      </c>
      <c r="B1262" t="s">
        <v>1277</v>
      </c>
      <c r="C1262" t="s">
        <v>13</v>
      </c>
      <c r="D1262">
        <v>1871</v>
      </c>
      <c r="E1262" t="s">
        <v>14</v>
      </c>
      <c r="F1262" s="2" t="str">
        <f t="shared" si="57"/>
        <v>Mar</v>
      </c>
      <c r="G1262" s="2">
        <f t="shared" si="58"/>
        <v>2024</v>
      </c>
      <c r="H1262" s="2">
        <f t="shared" si="59"/>
        <v>1871</v>
      </c>
    </row>
    <row r="1263" spans="1:8" x14ac:dyDescent="0.25">
      <c r="A1263" s="1">
        <v>45357</v>
      </c>
      <c r="B1263" t="s">
        <v>1278</v>
      </c>
      <c r="C1263" t="s">
        <v>6</v>
      </c>
      <c r="D1263">
        <v>1257.5999999999999</v>
      </c>
      <c r="E1263" t="s">
        <v>7</v>
      </c>
      <c r="F1263" s="2" t="str">
        <f t="shared" si="57"/>
        <v>Mar</v>
      </c>
      <c r="G1263" s="2">
        <f t="shared" si="58"/>
        <v>2024</v>
      </c>
      <c r="H1263" s="2">
        <f t="shared" si="59"/>
        <v>-1257.5999999999999</v>
      </c>
    </row>
    <row r="1264" spans="1:8" x14ac:dyDescent="0.25">
      <c r="A1264" s="1">
        <v>45357</v>
      </c>
      <c r="B1264" t="s">
        <v>1279</v>
      </c>
      <c r="C1264" t="s">
        <v>22</v>
      </c>
      <c r="D1264">
        <v>1731.25</v>
      </c>
      <c r="E1264" t="s">
        <v>7</v>
      </c>
      <c r="F1264" s="2" t="str">
        <f t="shared" si="57"/>
        <v>Mar</v>
      </c>
      <c r="G1264" s="2">
        <f t="shared" si="58"/>
        <v>2024</v>
      </c>
      <c r="H1264" s="2">
        <f t="shared" si="59"/>
        <v>-1731.25</v>
      </c>
    </row>
    <row r="1265" spans="1:8" x14ac:dyDescent="0.25">
      <c r="A1265" s="1">
        <v>45357</v>
      </c>
      <c r="B1265" t="s">
        <v>1280</v>
      </c>
      <c r="C1265" t="s">
        <v>11</v>
      </c>
      <c r="D1265">
        <v>419.1</v>
      </c>
      <c r="E1265" t="s">
        <v>7</v>
      </c>
      <c r="F1265" s="2" t="str">
        <f t="shared" si="57"/>
        <v>Mar</v>
      </c>
      <c r="G1265" s="2">
        <f t="shared" si="58"/>
        <v>2024</v>
      </c>
      <c r="H1265" s="2">
        <f t="shared" si="59"/>
        <v>-419.1</v>
      </c>
    </row>
    <row r="1266" spans="1:8" x14ac:dyDescent="0.25">
      <c r="A1266" s="1">
        <v>45358</v>
      </c>
      <c r="B1266" t="s">
        <v>1281</v>
      </c>
      <c r="C1266" t="s">
        <v>17</v>
      </c>
      <c r="D1266">
        <v>1296.6600000000001</v>
      </c>
      <c r="E1266" t="s">
        <v>7</v>
      </c>
      <c r="F1266" s="2" t="str">
        <f t="shared" si="57"/>
        <v>Mar</v>
      </c>
      <c r="G1266" s="2">
        <f t="shared" si="58"/>
        <v>2024</v>
      </c>
      <c r="H1266" s="2">
        <f t="shared" si="59"/>
        <v>-1296.6600000000001</v>
      </c>
    </row>
    <row r="1267" spans="1:8" x14ac:dyDescent="0.25">
      <c r="A1267" s="1">
        <v>45358</v>
      </c>
      <c r="B1267" t="s">
        <v>1282</v>
      </c>
      <c r="C1267" t="s">
        <v>9</v>
      </c>
      <c r="D1267">
        <v>57.27</v>
      </c>
      <c r="E1267" t="s">
        <v>7</v>
      </c>
      <c r="F1267" s="2" t="str">
        <f t="shared" si="57"/>
        <v>Mar</v>
      </c>
      <c r="G1267" s="2">
        <f t="shared" si="58"/>
        <v>2024</v>
      </c>
      <c r="H1267" s="2">
        <f t="shared" si="59"/>
        <v>-57.27</v>
      </c>
    </row>
    <row r="1268" spans="1:8" x14ac:dyDescent="0.25">
      <c r="A1268" s="1">
        <v>45359</v>
      </c>
      <c r="B1268" t="s">
        <v>1283</v>
      </c>
      <c r="C1268" t="s">
        <v>6</v>
      </c>
      <c r="D1268">
        <v>184.17</v>
      </c>
      <c r="E1268" t="s">
        <v>7</v>
      </c>
      <c r="F1268" s="2" t="str">
        <f t="shared" si="57"/>
        <v>Mar</v>
      </c>
      <c r="G1268" s="2">
        <f t="shared" si="58"/>
        <v>2024</v>
      </c>
      <c r="H1268" s="2">
        <f t="shared" si="59"/>
        <v>-184.17</v>
      </c>
    </row>
    <row r="1269" spans="1:8" x14ac:dyDescent="0.25">
      <c r="A1269" s="1">
        <v>45362</v>
      </c>
      <c r="B1269" t="s">
        <v>1284</v>
      </c>
      <c r="C1269" t="s">
        <v>20</v>
      </c>
      <c r="D1269">
        <v>1077</v>
      </c>
      <c r="E1269" t="s">
        <v>14</v>
      </c>
      <c r="F1269" s="2" t="str">
        <f t="shared" si="57"/>
        <v>Mar</v>
      </c>
      <c r="G1269" s="2">
        <f t="shared" si="58"/>
        <v>2024</v>
      </c>
      <c r="H1269" s="2">
        <f t="shared" si="59"/>
        <v>1077</v>
      </c>
    </row>
    <row r="1270" spans="1:8" x14ac:dyDescent="0.25">
      <c r="A1270" s="1">
        <v>45364</v>
      </c>
      <c r="B1270" t="s">
        <v>1285</v>
      </c>
      <c r="C1270" t="s">
        <v>22</v>
      </c>
      <c r="D1270">
        <v>1822.86</v>
      </c>
      <c r="E1270" t="s">
        <v>7</v>
      </c>
      <c r="F1270" s="2" t="str">
        <f t="shared" si="57"/>
        <v>Mar</v>
      </c>
      <c r="G1270" s="2">
        <f t="shared" si="58"/>
        <v>2024</v>
      </c>
      <c r="H1270" s="2">
        <f t="shared" si="59"/>
        <v>-1822.86</v>
      </c>
    </row>
    <row r="1271" spans="1:8" x14ac:dyDescent="0.25">
      <c r="A1271" s="1">
        <v>45366</v>
      </c>
      <c r="B1271" t="s">
        <v>1286</v>
      </c>
      <c r="C1271" t="s">
        <v>27</v>
      </c>
      <c r="D1271">
        <v>1264.1300000000001</v>
      </c>
      <c r="E1271" t="s">
        <v>7</v>
      </c>
      <c r="F1271" s="2" t="str">
        <f t="shared" si="57"/>
        <v>Mar</v>
      </c>
      <c r="G1271" s="2">
        <f t="shared" si="58"/>
        <v>2024</v>
      </c>
      <c r="H1271" s="2">
        <f t="shared" si="59"/>
        <v>-1264.1300000000001</v>
      </c>
    </row>
    <row r="1272" spans="1:8" x14ac:dyDescent="0.25">
      <c r="A1272" s="1">
        <v>45367</v>
      </c>
      <c r="B1272" t="s">
        <v>1287</v>
      </c>
      <c r="C1272" t="s">
        <v>6</v>
      </c>
      <c r="D1272">
        <v>785.11</v>
      </c>
      <c r="E1272" t="s">
        <v>7</v>
      </c>
      <c r="F1272" s="2" t="str">
        <f t="shared" si="57"/>
        <v>Mar</v>
      </c>
      <c r="G1272" s="2">
        <f t="shared" si="58"/>
        <v>2024</v>
      </c>
      <c r="H1272" s="2">
        <f t="shared" si="59"/>
        <v>-785.11</v>
      </c>
    </row>
    <row r="1273" spans="1:8" x14ac:dyDescent="0.25">
      <c r="A1273" s="1">
        <v>45369</v>
      </c>
      <c r="B1273" t="s">
        <v>1288</v>
      </c>
      <c r="C1273" t="s">
        <v>13</v>
      </c>
      <c r="D1273">
        <v>1018</v>
      </c>
      <c r="E1273" t="s">
        <v>14</v>
      </c>
      <c r="F1273" s="2" t="str">
        <f t="shared" si="57"/>
        <v>Mar</v>
      </c>
      <c r="G1273" s="2">
        <f t="shared" si="58"/>
        <v>2024</v>
      </c>
      <c r="H1273" s="2">
        <f t="shared" si="59"/>
        <v>1018</v>
      </c>
    </row>
    <row r="1274" spans="1:8" x14ac:dyDescent="0.25">
      <c r="A1274" s="1">
        <v>45377</v>
      </c>
      <c r="B1274" t="s">
        <v>1289</v>
      </c>
      <c r="C1274" t="s">
        <v>6</v>
      </c>
      <c r="D1274">
        <v>1404.76</v>
      </c>
      <c r="E1274" t="s">
        <v>7</v>
      </c>
      <c r="F1274" s="2" t="str">
        <f t="shared" si="57"/>
        <v>Mar</v>
      </c>
      <c r="G1274" s="2">
        <f t="shared" si="58"/>
        <v>2024</v>
      </c>
      <c r="H1274" s="2">
        <f t="shared" si="59"/>
        <v>-1404.76</v>
      </c>
    </row>
    <row r="1275" spans="1:8" x14ac:dyDescent="0.25">
      <c r="A1275" s="1">
        <v>45378</v>
      </c>
      <c r="B1275" t="s">
        <v>1290</v>
      </c>
      <c r="C1275" t="s">
        <v>13</v>
      </c>
      <c r="D1275">
        <v>2874</v>
      </c>
      <c r="E1275" t="s">
        <v>14</v>
      </c>
      <c r="F1275" s="2" t="str">
        <f t="shared" si="57"/>
        <v>Mar</v>
      </c>
      <c r="G1275" s="2">
        <f t="shared" si="58"/>
        <v>2024</v>
      </c>
      <c r="H1275" s="2">
        <f t="shared" si="59"/>
        <v>2874</v>
      </c>
    </row>
    <row r="1276" spans="1:8" x14ac:dyDescent="0.25">
      <c r="A1276" s="1">
        <v>45379</v>
      </c>
      <c r="B1276" t="s">
        <v>1291</v>
      </c>
      <c r="C1276" t="s">
        <v>35</v>
      </c>
      <c r="D1276">
        <v>1217.07</v>
      </c>
      <c r="E1276" t="s">
        <v>7</v>
      </c>
      <c r="F1276" s="2" t="str">
        <f t="shared" si="57"/>
        <v>Mar</v>
      </c>
      <c r="G1276" s="2">
        <f t="shared" si="58"/>
        <v>2024</v>
      </c>
      <c r="H1276" s="2">
        <f t="shared" si="59"/>
        <v>-1217.07</v>
      </c>
    </row>
    <row r="1277" spans="1:8" x14ac:dyDescent="0.25">
      <c r="A1277" s="1">
        <v>45380</v>
      </c>
      <c r="B1277" t="s">
        <v>1292</v>
      </c>
      <c r="C1277" t="s">
        <v>27</v>
      </c>
      <c r="D1277">
        <v>769.01</v>
      </c>
      <c r="E1277" t="s">
        <v>7</v>
      </c>
      <c r="F1277" s="2" t="str">
        <f t="shared" si="57"/>
        <v>Mar</v>
      </c>
      <c r="G1277" s="2">
        <f t="shared" si="58"/>
        <v>2024</v>
      </c>
      <c r="H1277" s="2">
        <f t="shared" si="59"/>
        <v>-769.01</v>
      </c>
    </row>
    <row r="1278" spans="1:8" x14ac:dyDescent="0.25">
      <c r="A1278" s="1">
        <v>45381</v>
      </c>
      <c r="B1278" t="s">
        <v>1293</v>
      </c>
      <c r="C1278" t="s">
        <v>6</v>
      </c>
      <c r="D1278">
        <v>953.24</v>
      </c>
      <c r="E1278" t="s">
        <v>7</v>
      </c>
      <c r="F1278" s="2" t="str">
        <f t="shared" si="57"/>
        <v>Mar</v>
      </c>
      <c r="G1278" s="2">
        <f t="shared" si="58"/>
        <v>2024</v>
      </c>
      <c r="H1278" s="2">
        <f t="shared" si="59"/>
        <v>-953.24</v>
      </c>
    </row>
    <row r="1279" spans="1:8" x14ac:dyDescent="0.25">
      <c r="A1279" s="1">
        <v>45381</v>
      </c>
      <c r="B1279" t="s">
        <v>1294</v>
      </c>
      <c r="C1279" t="s">
        <v>9</v>
      </c>
      <c r="D1279">
        <v>1496.04</v>
      </c>
      <c r="E1279" t="s">
        <v>7</v>
      </c>
      <c r="F1279" s="2" t="str">
        <f t="shared" si="57"/>
        <v>Mar</v>
      </c>
      <c r="G1279" s="2">
        <f t="shared" si="58"/>
        <v>2024</v>
      </c>
      <c r="H1279" s="2">
        <f t="shared" si="59"/>
        <v>-1496.04</v>
      </c>
    </row>
    <row r="1280" spans="1:8" x14ac:dyDescent="0.25">
      <c r="A1280" s="1">
        <v>45385</v>
      </c>
      <c r="B1280" t="s">
        <v>1295</v>
      </c>
      <c r="C1280" t="s">
        <v>35</v>
      </c>
      <c r="D1280">
        <v>1920.67</v>
      </c>
      <c r="E1280" t="s">
        <v>7</v>
      </c>
      <c r="F1280" s="2" t="str">
        <f t="shared" si="57"/>
        <v>Apr</v>
      </c>
      <c r="G1280" s="2">
        <f t="shared" si="58"/>
        <v>2024</v>
      </c>
      <c r="H1280" s="2">
        <f t="shared" si="59"/>
        <v>-1920.67</v>
      </c>
    </row>
    <row r="1281" spans="1:8" x14ac:dyDescent="0.25">
      <c r="A1281" s="1">
        <v>45386</v>
      </c>
      <c r="B1281" t="s">
        <v>1296</v>
      </c>
      <c r="C1281" t="s">
        <v>20</v>
      </c>
      <c r="D1281">
        <v>591</v>
      </c>
      <c r="E1281" t="s">
        <v>14</v>
      </c>
      <c r="F1281" s="2" t="str">
        <f t="shared" si="57"/>
        <v>Apr</v>
      </c>
      <c r="G1281" s="2">
        <f t="shared" si="58"/>
        <v>2024</v>
      </c>
      <c r="H1281" s="2">
        <f t="shared" si="59"/>
        <v>591</v>
      </c>
    </row>
    <row r="1282" spans="1:8" x14ac:dyDescent="0.25">
      <c r="A1282" s="1">
        <v>45388</v>
      </c>
      <c r="B1282" t="s">
        <v>1297</v>
      </c>
      <c r="C1282" t="s">
        <v>9</v>
      </c>
      <c r="D1282">
        <v>255.24</v>
      </c>
      <c r="E1282" t="s">
        <v>7</v>
      </c>
      <c r="F1282" s="2" t="str">
        <f t="shared" ref="F1282:F1345" si="60">TEXT(A1282,"mmm")</f>
        <v>Apr</v>
      </c>
      <c r="G1282" s="2">
        <f t="shared" ref="G1282:G1345" si="61">YEAR(A1282)</f>
        <v>2024</v>
      </c>
      <c r="H1282" s="2">
        <f t="shared" ref="H1282:H1345" si="62">IF(E1282="Income",D1282,-D1282)</f>
        <v>-255.24</v>
      </c>
    </row>
    <row r="1283" spans="1:8" x14ac:dyDescent="0.25">
      <c r="A1283" s="1">
        <v>45389</v>
      </c>
      <c r="B1283" t="s">
        <v>1298</v>
      </c>
      <c r="C1283" t="s">
        <v>20</v>
      </c>
      <c r="D1283">
        <v>4900</v>
      </c>
      <c r="E1283" t="s">
        <v>14</v>
      </c>
      <c r="F1283" s="2" t="str">
        <f t="shared" si="60"/>
        <v>Apr</v>
      </c>
      <c r="G1283" s="2">
        <f t="shared" si="61"/>
        <v>2024</v>
      </c>
      <c r="H1283" s="2">
        <f t="shared" si="62"/>
        <v>4900</v>
      </c>
    </row>
    <row r="1284" spans="1:8" x14ac:dyDescent="0.25">
      <c r="A1284" s="1">
        <v>45390</v>
      </c>
      <c r="B1284" t="s">
        <v>1299</v>
      </c>
      <c r="C1284" t="s">
        <v>11</v>
      </c>
      <c r="D1284">
        <v>616.34</v>
      </c>
      <c r="E1284" t="s">
        <v>7</v>
      </c>
      <c r="F1284" s="2" t="str">
        <f t="shared" si="60"/>
        <v>Apr</v>
      </c>
      <c r="G1284" s="2">
        <f t="shared" si="61"/>
        <v>2024</v>
      </c>
      <c r="H1284" s="2">
        <f t="shared" si="62"/>
        <v>-616.34</v>
      </c>
    </row>
    <row r="1285" spans="1:8" x14ac:dyDescent="0.25">
      <c r="A1285" s="1">
        <v>45391</v>
      </c>
      <c r="B1285" t="s">
        <v>1300</v>
      </c>
      <c r="C1285" t="s">
        <v>25</v>
      </c>
      <c r="D1285">
        <v>431.36</v>
      </c>
      <c r="E1285" t="s">
        <v>7</v>
      </c>
      <c r="F1285" s="2" t="str">
        <f t="shared" si="60"/>
        <v>Apr</v>
      </c>
      <c r="G1285" s="2">
        <f t="shared" si="61"/>
        <v>2024</v>
      </c>
      <c r="H1285" s="2">
        <f t="shared" si="62"/>
        <v>-431.36</v>
      </c>
    </row>
    <row r="1286" spans="1:8" x14ac:dyDescent="0.25">
      <c r="A1286" s="1">
        <v>45391</v>
      </c>
      <c r="B1286" t="s">
        <v>1301</v>
      </c>
      <c r="C1286" t="s">
        <v>9</v>
      </c>
      <c r="D1286">
        <v>330.3</v>
      </c>
      <c r="E1286" t="s">
        <v>7</v>
      </c>
      <c r="F1286" s="2" t="str">
        <f t="shared" si="60"/>
        <v>Apr</v>
      </c>
      <c r="G1286" s="2">
        <f t="shared" si="61"/>
        <v>2024</v>
      </c>
      <c r="H1286" s="2">
        <f t="shared" si="62"/>
        <v>-330.3</v>
      </c>
    </row>
    <row r="1287" spans="1:8" x14ac:dyDescent="0.25">
      <c r="A1287" s="1">
        <v>45392</v>
      </c>
      <c r="B1287" t="s">
        <v>1302</v>
      </c>
      <c r="C1287" t="s">
        <v>35</v>
      </c>
      <c r="D1287">
        <v>396.71</v>
      </c>
      <c r="E1287" t="s">
        <v>7</v>
      </c>
      <c r="F1287" s="2" t="str">
        <f t="shared" si="60"/>
        <v>Apr</v>
      </c>
      <c r="G1287" s="2">
        <f t="shared" si="61"/>
        <v>2024</v>
      </c>
      <c r="H1287" s="2">
        <f t="shared" si="62"/>
        <v>-396.71</v>
      </c>
    </row>
    <row r="1288" spans="1:8" x14ac:dyDescent="0.25">
      <c r="A1288" s="1">
        <v>45392</v>
      </c>
      <c r="B1288" t="s">
        <v>1303</v>
      </c>
      <c r="C1288" t="s">
        <v>13</v>
      </c>
      <c r="D1288">
        <v>4996</v>
      </c>
      <c r="E1288" t="s">
        <v>14</v>
      </c>
      <c r="F1288" s="2" t="str">
        <f t="shared" si="60"/>
        <v>Apr</v>
      </c>
      <c r="G1288" s="2">
        <f t="shared" si="61"/>
        <v>2024</v>
      </c>
      <c r="H1288" s="2">
        <f t="shared" si="62"/>
        <v>4996</v>
      </c>
    </row>
    <row r="1289" spans="1:8" x14ac:dyDescent="0.25">
      <c r="A1289" s="1">
        <v>45393</v>
      </c>
      <c r="B1289" t="s">
        <v>1304</v>
      </c>
      <c r="C1289" t="s">
        <v>11</v>
      </c>
      <c r="D1289">
        <v>588.4</v>
      </c>
      <c r="E1289" t="s">
        <v>7</v>
      </c>
      <c r="F1289" s="2" t="str">
        <f t="shared" si="60"/>
        <v>Apr</v>
      </c>
      <c r="G1289" s="2">
        <f t="shared" si="61"/>
        <v>2024</v>
      </c>
      <c r="H1289" s="2">
        <f t="shared" si="62"/>
        <v>-588.4</v>
      </c>
    </row>
    <row r="1290" spans="1:8" x14ac:dyDescent="0.25">
      <c r="A1290" s="1">
        <v>45395</v>
      </c>
      <c r="B1290" t="s">
        <v>1305</v>
      </c>
      <c r="C1290" t="s">
        <v>13</v>
      </c>
      <c r="D1290">
        <v>2117</v>
      </c>
      <c r="E1290" t="s">
        <v>14</v>
      </c>
      <c r="F1290" s="2" t="str">
        <f t="shared" si="60"/>
        <v>Apr</v>
      </c>
      <c r="G1290" s="2">
        <f t="shared" si="61"/>
        <v>2024</v>
      </c>
      <c r="H1290" s="2">
        <f t="shared" si="62"/>
        <v>2117</v>
      </c>
    </row>
    <row r="1291" spans="1:8" x14ac:dyDescent="0.25">
      <c r="A1291" s="1">
        <v>45398</v>
      </c>
      <c r="B1291" t="s">
        <v>1306</v>
      </c>
      <c r="C1291" t="s">
        <v>27</v>
      </c>
      <c r="D1291">
        <v>1903.56</v>
      </c>
      <c r="E1291" t="s">
        <v>7</v>
      </c>
      <c r="F1291" s="2" t="str">
        <f t="shared" si="60"/>
        <v>Apr</v>
      </c>
      <c r="G1291" s="2">
        <f t="shared" si="61"/>
        <v>2024</v>
      </c>
      <c r="H1291" s="2">
        <f t="shared" si="62"/>
        <v>-1903.56</v>
      </c>
    </row>
    <row r="1292" spans="1:8" x14ac:dyDescent="0.25">
      <c r="A1292" s="1">
        <v>45399</v>
      </c>
      <c r="B1292" t="s">
        <v>1307</v>
      </c>
      <c r="C1292" t="s">
        <v>22</v>
      </c>
      <c r="D1292">
        <v>209.09</v>
      </c>
      <c r="E1292" t="s">
        <v>7</v>
      </c>
      <c r="F1292" s="2" t="str">
        <f t="shared" si="60"/>
        <v>Apr</v>
      </c>
      <c r="G1292" s="2">
        <f t="shared" si="61"/>
        <v>2024</v>
      </c>
      <c r="H1292" s="2">
        <f t="shared" si="62"/>
        <v>-209.09</v>
      </c>
    </row>
    <row r="1293" spans="1:8" x14ac:dyDescent="0.25">
      <c r="A1293" s="1">
        <v>45399</v>
      </c>
      <c r="B1293" t="s">
        <v>1308</v>
      </c>
      <c r="C1293" t="s">
        <v>22</v>
      </c>
      <c r="D1293">
        <v>642.39</v>
      </c>
      <c r="E1293" t="s">
        <v>7</v>
      </c>
      <c r="F1293" s="2" t="str">
        <f t="shared" si="60"/>
        <v>Apr</v>
      </c>
      <c r="G1293" s="2">
        <f t="shared" si="61"/>
        <v>2024</v>
      </c>
      <c r="H1293" s="2">
        <f t="shared" si="62"/>
        <v>-642.39</v>
      </c>
    </row>
    <row r="1294" spans="1:8" x14ac:dyDescent="0.25">
      <c r="A1294" s="1">
        <v>45399</v>
      </c>
      <c r="B1294" t="s">
        <v>1309</v>
      </c>
      <c r="C1294" t="s">
        <v>35</v>
      </c>
      <c r="D1294">
        <v>1389.98</v>
      </c>
      <c r="E1294" t="s">
        <v>7</v>
      </c>
      <c r="F1294" s="2" t="str">
        <f t="shared" si="60"/>
        <v>Apr</v>
      </c>
      <c r="G1294" s="2">
        <f t="shared" si="61"/>
        <v>2024</v>
      </c>
      <c r="H1294" s="2">
        <f t="shared" si="62"/>
        <v>-1389.98</v>
      </c>
    </row>
    <row r="1295" spans="1:8" x14ac:dyDescent="0.25">
      <c r="A1295" s="1">
        <v>45400</v>
      </c>
      <c r="B1295" t="s">
        <v>1310</v>
      </c>
      <c r="C1295" t="s">
        <v>20</v>
      </c>
      <c r="D1295">
        <v>3091</v>
      </c>
      <c r="E1295" t="s">
        <v>14</v>
      </c>
      <c r="F1295" s="2" t="str">
        <f t="shared" si="60"/>
        <v>Apr</v>
      </c>
      <c r="G1295" s="2">
        <f t="shared" si="61"/>
        <v>2024</v>
      </c>
      <c r="H1295" s="2">
        <f t="shared" si="62"/>
        <v>3091</v>
      </c>
    </row>
    <row r="1296" spans="1:8" x14ac:dyDescent="0.25">
      <c r="A1296" s="1">
        <v>45402</v>
      </c>
      <c r="B1296" t="s">
        <v>1311</v>
      </c>
      <c r="C1296" t="s">
        <v>9</v>
      </c>
      <c r="D1296">
        <v>19.62</v>
      </c>
      <c r="E1296" t="s">
        <v>7</v>
      </c>
      <c r="F1296" s="2" t="str">
        <f t="shared" si="60"/>
        <v>Apr</v>
      </c>
      <c r="G1296" s="2">
        <f t="shared" si="61"/>
        <v>2024</v>
      </c>
      <c r="H1296" s="2">
        <f t="shared" si="62"/>
        <v>-19.62</v>
      </c>
    </row>
    <row r="1297" spans="1:8" x14ac:dyDescent="0.25">
      <c r="A1297" s="1">
        <v>45403</v>
      </c>
      <c r="B1297" t="s">
        <v>1312</v>
      </c>
      <c r="C1297" t="s">
        <v>22</v>
      </c>
      <c r="D1297">
        <v>1427.28</v>
      </c>
      <c r="E1297" t="s">
        <v>7</v>
      </c>
      <c r="F1297" s="2" t="str">
        <f t="shared" si="60"/>
        <v>Apr</v>
      </c>
      <c r="G1297" s="2">
        <f t="shared" si="61"/>
        <v>2024</v>
      </c>
      <c r="H1297" s="2">
        <f t="shared" si="62"/>
        <v>-1427.28</v>
      </c>
    </row>
    <row r="1298" spans="1:8" x14ac:dyDescent="0.25">
      <c r="A1298" s="1">
        <v>45404</v>
      </c>
      <c r="B1298" t="s">
        <v>1313</v>
      </c>
      <c r="C1298" t="s">
        <v>35</v>
      </c>
      <c r="D1298">
        <v>1681.82</v>
      </c>
      <c r="E1298" t="s">
        <v>7</v>
      </c>
      <c r="F1298" s="2" t="str">
        <f t="shared" si="60"/>
        <v>Apr</v>
      </c>
      <c r="G1298" s="2">
        <f t="shared" si="61"/>
        <v>2024</v>
      </c>
      <c r="H1298" s="2">
        <f t="shared" si="62"/>
        <v>-1681.82</v>
      </c>
    </row>
    <row r="1299" spans="1:8" x14ac:dyDescent="0.25">
      <c r="A1299" s="1">
        <v>45405</v>
      </c>
      <c r="B1299" t="s">
        <v>1314</v>
      </c>
      <c r="C1299" t="s">
        <v>20</v>
      </c>
      <c r="D1299">
        <v>4431</v>
      </c>
      <c r="E1299" t="s">
        <v>14</v>
      </c>
      <c r="F1299" s="2" t="str">
        <f t="shared" si="60"/>
        <v>Apr</v>
      </c>
      <c r="G1299" s="2">
        <f t="shared" si="61"/>
        <v>2024</v>
      </c>
      <c r="H1299" s="2">
        <f t="shared" si="62"/>
        <v>4431</v>
      </c>
    </row>
    <row r="1300" spans="1:8" x14ac:dyDescent="0.25">
      <c r="A1300" s="1">
        <v>45407</v>
      </c>
      <c r="B1300" t="s">
        <v>1315</v>
      </c>
      <c r="C1300" t="s">
        <v>25</v>
      </c>
      <c r="D1300">
        <v>1551.79</v>
      </c>
      <c r="E1300" t="s">
        <v>7</v>
      </c>
      <c r="F1300" s="2" t="str">
        <f t="shared" si="60"/>
        <v>Apr</v>
      </c>
      <c r="G1300" s="2">
        <f t="shared" si="61"/>
        <v>2024</v>
      </c>
      <c r="H1300" s="2">
        <f t="shared" si="62"/>
        <v>-1551.79</v>
      </c>
    </row>
    <row r="1301" spans="1:8" x14ac:dyDescent="0.25">
      <c r="A1301" s="1">
        <v>45408</v>
      </c>
      <c r="B1301" t="s">
        <v>1316</v>
      </c>
      <c r="C1301" t="s">
        <v>11</v>
      </c>
      <c r="D1301">
        <v>359.78</v>
      </c>
      <c r="E1301" t="s">
        <v>7</v>
      </c>
      <c r="F1301" s="2" t="str">
        <f t="shared" si="60"/>
        <v>Apr</v>
      </c>
      <c r="G1301" s="2">
        <f t="shared" si="61"/>
        <v>2024</v>
      </c>
      <c r="H1301" s="2">
        <f t="shared" si="62"/>
        <v>-359.78</v>
      </c>
    </row>
    <row r="1302" spans="1:8" x14ac:dyDescent="0.25">
      <c r="A1302" s="1">
        <v>45408</v>
      </c>
      <c r="B1302" t="s">
        <v>1317</v>
      </c>
      <c r="C1302" t="s">
        <v>35</v>
      </c>
      <c r="D1302">
        <v>1718.84</v>
      </c>
      <c r="E1302" t="s">
        <v>7</v>
      </c>
      <c r="F1302" s="2" t="str">
        <f t="shared" si="60"/>
        <v>Apr</v>
      </c>
      <c r="G1302" s="2">
        <f t="shared" si="61"/>
        <v>2024</v>
      </c>
      <c r="H1302" s="2">
        <f t="shared" si="62"/>
        <v>-1718.84</v>
      </c>
    </row>
    <row r="1303" spans="1:8" x14ac:dyDescent="0.25">
      <c r="A1303" s="1">
        <v>45412</v>
      </c>
      <c r="B1303" t="s">
        <v>1318</v>
      </c>
      <c r="C1303" t="s">
        <v>13</v>
      </c>
      <c r="D1303">
        <v>2656</v>
      </c>
      <c r="E1303" t="s">
        <v>14</v>
      </c>
      <c r="F1303" s="2" t="str">
        <f t="shared" si="60"/>
        <v>Apr</v>
      </c>
      <c r="G1303" s="2">
        <f t="shared" si="61"/>
        <v>2024</v>
      </c>
      <c r="H1303" s="2">
        <f t="shared" si="62"/>
        <v>2656</v>
      </c>
    </row>
    <row r="1304" spans="1:8" x14ac:dyDescent="0.25">
      <c r="A1304" s="1">
        <v>45414</v>
      </c>
      <c r="B1304" t="s">
        <v>1319</v>
      </c>
      <c r="C1304" t="s">
        <v>11</v>
      </c>
      <c r="D1304">
        <v>1457.58</v>
      </c>
      <c r="E1304" t="s">
        <v>7</v>
      </c>
      <c r="F1304" s="2" t="str">
        <f t="shared" si="60"/>
        <v>May</v>
      </c>
      <c r="G1304" s="2">
        <f t="shared" si="61"/>
        <v>2024</v>
      </c>
      <c r="H1304" s="2">
        <f t="shared" si="62"/>
        <v>-1457.58</v>
      </c>
    </row>
    <row r="1305" spans="1:8" x14ac:dyDescent="0.25">
      <c r="A1305" s="1">
        <v>45415</v>
      </c>
      <c r="B1305" t="s">
        <v>1320</v>
      </c>
      <c r="C1305" t="s">
        <v>6</v>
      </c>
      <c r="D1305">
        <v>1627.16</v>
      </c>
      <c r="E1305" t="s">
        <v>7</v>
      </c>
      <c r="F1305" s="2" t="str">
        <f t="shared" si="60"/>
        <v>May</v>
      </c>
      <c r="G1305" s="2">
        <f t="shared" si="61"/>
        <v>2024</v>
      </c>
      <c r="H1305" s="2">
        <f t="shared" si="62"/>
        <v>-1627.16</v>
      </c>
    </row>
    <row r="1306" spans="1:8" x14ac:dyDescent="0.25">
      <c r="A1306" s="1">
        <v>45416</v>
      </c>
      <c r="B1306" t="s">
        <v>1321</v>
      </c>
      <c r="C1306" t="s">
        <v>22</v>
      </c>
      <c r="D1306">
        <v>1813.54</v>
      </c>
      <c r="E1306" t="s">
        <v>7</v>
      </c>
      <c r="F1306" s="2" t="str">
        <f t="shared" si="60"/>
        <v>May</v>
      </c>
      <c r="G1306" s="2">
        <f t="shared" si="61"/>
        <v>2024</v>
      </c>
      <c r="H1306" s="2">
        <f t="shared" si="62"/>
        <v>-1813.54</v>
      </c>
    </row>
    <row r="1307" spans="1:8" x14ac:dyDescent="0.25">
      <c r="A1307" s="1">
        <v>45416</v>
      </c>
      <c r="B1307" t="s">
        <v>1322</v>
      </c>
      <c r="C1307" t="s">
        <v>27</v>
      </c>
      <c r="D1307">
        <v>1311.28</v>
      </c>
      <c r="E1307" t="s">
        <v>7</v>
      </c>
      <c r="F1307" s="2" t="str">
        <f t="shared" si="60"/>
        <v>May</v>
      </c>
      <c r="G1307" s="2">
        <f t="shared" si="61"/>
        <v>2024</v>
      </c>
      <c r="H1307" s="2">
        <f t="shared" si="62"/>
        <v>-1311.28</v>
      </c>
    </row>
    <row r="1308" spans="1:8" x14ac:dyDescent="0.25">
      <c r="A1308" s="1">
        <v>45417</v>
      </c>
      <c r="B1308" t="s">
        <v>1323</v>
      </c>
      <c r="C1308" t="s">
        <v>20</v>
      </c>
      <c r="D1308">
        <v>2329</v>
      </c>
      <c r="E1308" t="s">
        <v>14</v>
      </c>
      <c r="F1308" s="2" t="str">
        <f t="shared" si="60"/>
        <v>May</v>
      </c>
      <c r="G1308" s="2">
        <f t="shared" si="61"/>
        <v>2024</v>
      </c>
      <c r="H1308" s="2">
        <f t="shared" si="62"/>
        <v>2329</v>
      </c>
    </row>
    <row r="1309" spans="1:8" x14ac:dyDescent="0.25">
      <c r="A1309" s="1">
        <v>45417</v>
      </c>
      <c r="B1309" t="s">
        <v>1324</v>
      </c>
      <c r="C1309" t="s">
        <v>35</v>
      </c>
      <c r="D1309">
        <v>276.42</v>
      </c>
      <c r="E1309" t="s">
        <v>7</v>
      </c>
      <c r="F1309" s="2" t="str">
        <f t="shared" si="60"/>
        <v>May</v>
      </c>
      <c r="G1309" s="2">
        <f t="shared" si="61"/>
        <v>2024</v>
      </c>
      <c r="H1309" s="2">
        <f t="shared" si="62"/>
        <v>-276.42</v>
      </c>
    </row>
    <row r="1310" spans="1:8" x14ac:dyDescent="0.25">
      <c r="A1310" s="1">
        <v>45426</v>
      </c>
      <c r="B1310" t="s">
        <v>1325</v>
      </c>
      <c r="C1310" t="s">
        <v>11</v>
      </c>
      <c r="D1310">
        <v>799.6</v>
      </c>
      <c r="E1310" t="s">
        <v>7</v>
      </c>
      <c r="F1310" s="2" t="str">
        <f t="shared" si="60"/>
        <v>May</v>
      </c>
      <c r="G1310" s="2">
        <f t="shared" si="61"/>
        <v>2024</v>
      </c>
      <c r="H1310" s="2">
        <f t="shared" si="62"/>
        <v>-799.6</v>
      </c>
    </row>
    <row r="1311" spans="1:8" x14ac:dyDescent="0.25">
      <c r="A1311" s="1">
        <v>45427</v>
      </c>
      <c r="B1311" t="s">
        <v>1326</v>
      </c>
      <c r="C1311" t="s">
        <v>22</v>
      </c>
      <c r="D1311">
        <v>1697.48</v>
      </c>
      <c r="E1311" t="s">
        <v>7</v>
      </c>
      <c r="F1311" s="2" t="str">
        <f t="shared" si="60"/>
        <v>May</v>
      </c>
      <c r="G1311" s="2">
        <f t="shared" si="61"/>
        <v>2024</v>
      </c>
      <c r="H1311" s="2">
        <f t="shared" si="62"/>
        <v>-1697.48</v>
      </c>
    </row>
    <row r="1312" spans="1:8" x14ac:dyDescent="0.25">
      <c r="A1312" s="1">
        <v>45429</v>
      </c>
      <c r="B1312" t="s">
        <v>1327</v>
      </c>
      <c r="C1312" t="s">
        <v>9</v>
      </c>
      <c r="D1312">
        <v>1516.84</v>
      </c>
      <c r="E1312" t="s">
        <v>7</v>
      </c>
      <c r="F1312" s="2" t="str">
        <f t="shared" si="60"/>
        <v>May</v>
      </c>
      <c r="G1312" s="2">
        <f t="shared" si="61"/>
        <v>2024</v>
      </c>
      <c r="H1312" s="2">
        <f t="shared" si="62"/>
        <v>-1516.84</v>
      </c>
    </row>
    <row r="1313" spans="1:8" x14ac:dyDescent="0.25">
      <c r="A1313" s="1">
        <v>45432</v>
      </c>
      <c r="B1313" t="s">
        <v>1328</v>
      </c>
      <c r="C1313" t="s">
        <v>13</v>
      </c>
      <c r="D1313">
        <v>1967</v>
      </c>
      <c r="E1313" t="s">
        <v>14</v>
      </c>
      <c r="F1313" s="2" t="str">
        <f t="shared" si="60"/>
        <v>May</v>
      </c>
      <c r="G1313" s="2">
        <f t="shared" si="61"/>
        <v>2024</v>
      </c>
      <c r="H1313" s="2">
        <f t="shared" si="62"/>
        <v>1967</v>
      </c>
    </row>
    <row r="1314" spans="1:8" x14ac:dyDescent="0.25">
      <c r="A1314" s="1">
        <v>45434</v>
      </c>
      <c r="B1314" t="s">
        <v>1329</v>
      </c>
      <c r="C1314" t="s">
        <v>9</v>
      </c>
      <c r="D1314">
        <v>1474.48</v>
      </c>
      <c r="E1314" t="s">
        <v>7</v>
      </c>
      <c r="F1314" s="2" t="str">
        <f t="shared" si="60"/>
        <v>May</v>
      </c>
      <c r="G1314" s="2">
        <f t="shared" si="61"/>
        <v>2024</v>
      </c>
      <c r="H1314" s="2">
        <f t="shared" si="62"/>
        <v>-1474.48</v>
      </c>
    </row>
    <row r="1315" spans="1:8" x14ac:dyDescent="0.25">
      <c r="A1315" s="1">
        <v>45435</v>
      </c>
      <c r="B1315" t="s">
        <v>1330</v>
      </c>
      <c r="C1315" t="s">
        <v>25</v>
      </c>
      <c r="D1315">
        <v>90.44</v>
      </c>
      <c r="E1315" t="s">
        <v>7</v>
      </c>
      <c r="F1315" s="2" t="str">
        <f t="shared" si="60"/>
        <v>May</v>
      </c>
      <c r="G1315" s="2">
        <f t="shared" si="61"/>
        <v>2024</v>
      </c>
      <c r="H1315" s="2">
        <f t="shared" si="62"/>
        <v>-90.44</v>
      </c>
    </row>
    <row r="1316" spans="1:8" x14ac:dyDescent="0.25">
      <c r="A1316" s="1">
        <v>45437</v>
      </c>
      <c r="B1316" t="s">
        <v>1331</v>
      </c>
      <c r="C1316" t="s">
        <v>22</v>
      </c>
      <c r="D1316">
        <v>135.09</v>
      </c>
      <c r="E1316" t="s">
        <v>7</v>
      </c>
      <c r="F1316" s="2" t="str">
        <f t="shared" si="60"/>
        <v>May</v>
      </c>
      <c r="G1316" s="2">
        <f t="shared" si="61"/>
        <v>2024</v>
      </c>
      <c r="H1316" s="2">
        <f t="shared" si="62"/>
        <v>-135.09</v>
      </c>
    </row>
    <row r="1317" spans="1:8" x14ac:dyDescent="0.25">
      <c r="A1317" s="1">
        <v>45438</v>
      </c>
      <c r="B1317" t="s">
        <v>1332</v>
      </c>
      <c r="C1317" t="s">
        <v>6</v>
      </c>
      <c r="D1317">
        <v>1340.49</v>
      </c>
      <c r="E1317" t="s">
        <v>7</v>
      </c>
      <c r="F1317" s="2" t="str">
        <f t="shared" si="60"/>
        <v>May</v>
      </c>
      <c r="G1317" s="2">
        <f t="shared" si="61"/>
        <v>2024</v>
      </c>
      <c r="H1317" s="2">
        <f t="shared" si="62"/>
        <v>-1340.49</v>
      </c>
    </row>
    <row r="1318" spans="1:8" x14ac:dyDescent="0.25">
      <c r="A1318" s="1">
        <v>45439</v>
      </c>
      <c r="B1318" t="s">
        <v>1333</v>
      </c>
      <c r="C1318" t="s">
        <v>25</v>
      </c>
      <c r="D1318">
        <v>782.31</v>
      </c>
      <c r="E1318" t="s">
        <v>7</v>
      </c>
      <c r="F1318" s="2" t="str">
        <f t="shared" si="60"/>
        <v>May</v>
      </c>
      <c r="G1318" s="2">
        <f t="shared" si="61"/>
        <v>2024</v>
      </c>
      <c r="H1318" s="2">
        <f t="shared" si="62"/>
        <v>-782.31</v>
      </c>
    </row>
    <row r="1319" spans="1:8" x14ac:dyDescent="0.25">
      <c r="A1319" s="1">
        <v>45439</v>
      </c>
      <c r="B1319" t="s">
        <v>1334</v>
      </c>
      <c r="C1319" t="s">
        <v>6</v>
      </c>
      <c r="D1319">
        <v>89.41</v>
      </c>
      <c r="E1319" t="s">
        <v>7</v>
      </c>
      <c r="F1319" s="2" t="str">
        <f t="shared" si="60"/>
        <v>May</v>
      </c>
      <c r="G1319" s="2">
        <f t="shared" si="61"/>
        <v>2024</v>
      </c>
      <c r="H1319" s="2">
        <f t="shared" si="62"/>
        <v>-89.41</v>
      </c>
    </row>
    <row r="1320" spans="1:8" x14ac:dyDescent="0.25">
      <c r="A1320" s="1">
        <v>45443</v>
      </c>
      <c r="B1320" t="s">
        <v>1335</v>
      </c>
      <c r="C1320" t="s">
        <v>11</v>
      </c>
      <c r="D1320">
        <v>1410.44</v>
      </c>
      <c r="E1320" t="s">
        <v>7</v>
      </c>
      <c r="F1320" s="2" t="str">
        <f t="shared" si="60"/>
        <v>May</v>
      </c>
      <c r="G1320" s="2">
        <f t="shared" si="61"/>
        <v>2024</v>
      </c>
      <c r="H1320" s="2">
        <f t="shared" si="62"/>
        <v>-1410.44</v>
      </c>
    </row>
    <row r="1321" spans="1:8" x14ac:dyDescent="0.25">
      <c r="A1321" s="1">
        <v>45444</v>
      </c>
      <c r="B1321" t="s">
        <v>1336</v>
      </c>
      <c r="C1321" t="s">
        <v>35</v>
      </c>
      <c r="D1321">
        <v>1671.4</v>
      </c>
      <c r="E1321" t="s">
        <v>7</v>
      </c>
      <c r="F1321" s="2" t="str">
        <f t="shared" si="60"/>
        <v>Jun</v>
      </c>
      <c r="G1321" s="2">
        <f t="shared" si="61"/>
        <v>2024</v>
      </c>
      <c r="H1321" s="2">
        <f t="shared" si="62"/>
        <v>-1671.4</v>
      </c>
    </row>
    <row r="1322" spans="1:8" x14ac:dyDescent="0.25">
      <c r="A1322" s="1">
        <v>45445</v>
      </c>
      <c r="B1322" t="s">
        <v>1337</v>
      </c>
      <c r="C1322" t="s">
        <v>9</v>
      </c>
      <c r="D1322">
        <v>759.55</v>
      </c>
      <c r="E1322" t="s">
        <v>7</v>
      </c>
      <c r="F1322" s="2" t="str">
        <f t="shared" si="60"/>
        <v>Jun</v>
      </c>
      <c r="G1322" s="2">
        <f t="shared" si="61"/>
        <v>2024</v>
      </c>
      <c r="H1322" s="2">
        <f t="shared" si="62"/>
        <v>-759.55</v>
      </c>
    </row>
    <row r="1323" spans="1:8" x14ac:dyDescent="0.25">
      <c r="A1323" s="1">
        <v>45445</v>
      </c>
      <c r="B1323" t="s">
        <v>1338</v>
      </c>
      <c r="C1323" t="s">
        <v>11</v>
      </c>
      <c r="D1323">
        <v>1038.1600000000001</v>
      </c>
      <c r="E1323" t="s">
        <v>7</v>
      </c>
      <c r="F1323" s="2" t="str">
        <f t="shared" si="60"/>
        <v>Jun</v>
      </c>
      <c r="G1323" s="2">
        <f t="shared" si="61"/>
        <v>2024</v>
      </c>
      <c r="H1323" s="2">
        <f t="shared" si="62"/>
        <v>-1038.1600000000001</v>
      </c>
    </row>
    <row r="1324" spans="1:8" x14ac:dyDescent="0.25">
      <c r="A1324" s="1">
        <v>45446</v>
      </c>
      <c r="B1324" t="s">
        <v>1339</v>
      </c>
      <c r="C1324" t="s">
        <v>22</v>
      </c>
      <c r="D1324">
        <v>1037.58</v>
      </c>
      <c r="E1324" t="s">
        <v>7</v>
      </c>
      <c r="F1324" s="2" t="str">
        <f t="shared" si="60"/>
        <v>Jun</v>
      </c>
      <c r="G1324" s="2">
        <f t="shared" si="61"/>
        <v>2024</v>
      </c>
      <c r="H1324" s="2">
        <f t="shared" si="62"/>
        <v>-1037.58</v>
      </c>
    </row>
    <row r="1325" spans="1:8" x14ac:dyDescent="0.25">
      <c r="A1325" s="1">
        <v>45447</v>
      </c>
      <c r="B1325" t="s">
        <v>1340</v>
      </c>
      <c r="C1325" t="s">
        <v>25</v>
      </c>
      <c r="D1325">
        <v>978.85</v>
      </c>
      <c r="E1325" t="s">
        <v>7</v>
      </c>
      <c r="F1325" s="2" t="str">
        <f t="shared" si="60"/>
        <v>Jun</v>
      </c>
      <c r="G1325" s="2">
        <f t="shared" si="61"/>
        <v>2024</v>
      </c>
      <c r="H1325" s="2">
        <f t="shared" si="62"/>
        <v>-978.85</v>
      </c>
    </row>
    <row r="1326" spans="1:8" x14ac:dyDescent="0.25">
      <c r="A1326" s="1">
        <v>45449</v>
      </c>
      <c r="B1326" t="s">
        <v>1341</v>
      </c>
      <c r="C1326" t="s">
        <v>6</v>
      </c>
      <c r="D1326">
        <v>1008.66</v>
      </c>
      <c r="E1326" t="s">
        <v>7</v>
      </c>
      <c r="F1326" s="2" t="str">
        <f t="shared" si="60"/>
        <v>Jun</v>
      </c>
      <c r="G1326" s="2">
        <f t="shared" si="61"/>
        <v>2024</v>
      </c>
      <c r="H1326" s="2">
        <f t="shared" si="62"/>
        <v>-1008.66</v>
      </c>
    </row>
    <row r="1327" spans="1:8" x14ac:dyDescent="0.25">
      <c r="A1327" s="1">
        <v>45450</v>
      </c>
      <c r="B1327" t="s">
        <v>1342</v>
      </c>
      <c r="C1327" t="s">
        <v>13</v>
      </c>
      <c r="D1327">
        <v>2384</v>
      </c>
      <c r="E1327" t="s">
        <v>14</v>
      </c>
      <c r="F1327" s="2" t="str">
        <f t="shared" si="60"/>
        <v>Jun</v>
      </c>
      <c r="G1327" s="2">
        <f t="shared" si="61"/>
        <v>2024</v>
      </c>
      <c r="H1327" s="2">
        <f t="shared" si="62"/>
        <v>2384</v>
      </c>
    </row>
    <row r="1328" spans="1:8" x14ac:dyDescent="0.25">
      <c r="A1328" s="1">
        <v>45452</v>
      </c>
      <c r="B1328" t="s">
        <v>1343</v>
      </c>
      <c r="C1328" t="s">
        <v>20</v>
      </c>
      <c r="D1328">
        <v>2232</v>
      </c>
      <c r="E1328" t="s">
        <v>14</v>
      </c>
      <c r="F1328" s="2" t="str">
        <f t="shared" si="60"/>
        <v>Jun</v>
      </c>
      <c r="G1328" s="2">
        <f t="shared" si="61"/>
        <v>2024</v>
      </c>
      <c r="H1328" s="2">
        <f t="shared" si="62"/>
        <v>2232</v>
      </c>
    </row>
    <row r="1329" spans="1:8" x14ac:dyDescent="0.25">
      <c r="A1329" s="1">
        <v>45453</v>
      </c>
      <c r="B1329" t="s">
        <v>1344</v>
      </c>
      <c r="C1329" t="s">
        <v>13</v>
      </c>
      <c r="D1329">
        <v>3467</v>
      </c>
      <c r="E1329" t="s">
        <v>14</v>
      </c>
      <c r="F1329" s="2" t="str">
        <f t="shared" si="60"/>
        <v>Jun</v>
      </c>
      <c r="G1329" s="2">
        <f t="shared" si="61"/>
        <v>2024</v>
      </c>
      <c r="H1329" s="2">
        <f t="shared" si="62"/>
        <v>3467</v>
      </c>
    </row>
    <row r="1330" spans="1:8" x14ac:dyDescent="0.25">
      <c r="A1330" s="1">
        <v>45455</v>
      </c>
      <c r="B1330" t="s">
        <v>1345</v>
      </c>
      <c r="C1330" t="s">
        <v>11</v>
      </c>
      <c r="D1330">
        <v>1325.61</v>
      </c>
      <c r="E1330" t="s">
        <v>7</v>
      </c>
      <c r="F1330" s="2" t="str">
        <f t="shared" si="60"/>
        <v>Jun</v>
      </c>
      <c r="G1330" s="2">
        <f t="shared" si="61"/>
        <v>2024</v>
      </c>
      <c r="H1330" s="2">
        <f t="shared" si="62"/>
        <v>-1325.61</v>
      </c>
    </row>
    <row r="1331" spans="1:8" x14ac:dyDescent="0.25">
      <c r="A1331" s="1">
        <v>45456</v>
      </c>
      <c r="B1331" t="s">
        <v>1346</v>
      </c>
      <c r="C1331" t="s">
        <v>25</v>
      </c>
      <c r="D1331">
        <v>1443.31</v>
      </c>
      <c r="E1331" t="s">
        <v>7</v>
      </c>
      <c r="F1331" s="2" t="str">
        <f t="shared" si="60"/>
        <v>Jun</v>
      </c>
      <c r="G1331" s="2">
        <f t="shared" si="61"/>
        <v>2024</v>
      </c>
      <c r="H1331" s="2">
        <f t="shared" si="62"/>
        <v>-1443.31</v>
      </c>
    </row>
    <row r="1332" spans="1:8" x14ac:dyDescent="0.25">
      <c r="A1332" s="1">
        <v>45456</v>
      </c>
      <c r="B1332" t="s">
        <v>1347</v>
      </c>
      <c r="C1332" t="s">
        <v>27</v>
      </c>
      <c r="D1332">
        <v>963.25</v>
      </c>
      <c r="E1332" t="s">
        <v>7</v>
      </c>
      <c r="F1332" s="2" t="str">
        <f t="shared" si="60"/>
        <v>Jun</v>
      </c>
      <c r="G1332" s="2">
        <f t="shared" si="61"/>
        <v>2024</v>
      </c>
      <c r="H1332" s="2">
        <f t="shared" si="62"/>
        <v>-963.25</v>
      </c>
    </row>
    <row r="1333" spans="1:8" x14ac:dyDescent="0.25">
      <c r="A1333" s="1">
        <v>45457</v>
      </c>
      <c r="B1333" t="s">
        <v>1348</v>
      </c>
      <c r="C1333" t="s">
        <v>17</v>
      </c>
      <c r="D1333">
        <v>54.67</v>
      </c>
      <c r="E1333" t="s">
        <v>7</v>
      </c>
      <c r="F1333" s="2" t="str">
        <f t="shared" si="60"/>
        <v>Jun</v>
      </c>
      <c r="G1333" s="2">
        <f t="shared" si="61"/>
        <v>2024</v>
      </c>
      <c r="H1333" s="2">
        <f t="shared" si="62"/>
        <v>-54.67</v>
      </c>
    </row>
    <row r="1334" spans="1:8" x14ac:dyDescent="0.25">
      <c r="A1334" s="1">
        <v>45458</v>
      </c>
      <c r="B1334" t="s">
        <v>1349</v>
      </c>
      <c r="C1334" t="s">
        <v>13</v>
      </c>
      <c r="D1334">
        <v>1603</v>
      </c>
      <c r="E1334" t="s">
        <v>14</v>
      </c>
      <c r="F1334" s="2" t="str">
        <f t="shared" si="60"/>
        <v>Jun</v>
      </c>
      <c r="G1334" s="2">
        <f t="shared" si="61"/>
        <v>2024</v>
      </c>
      <c r="H1334" s="2">
        <f t="shared" si="62"/>
        <v>1603</v>
      </c>
    </row>
    <row r="1335" spans="1:8" x14ac:dyDescent="0.25">
      <c r="A1335" s="1">
        <v>45459</v>
      </c>
      <c r="B1335" t="s">
        <v>1350</v>
      </c>
      <c r="C1335" t="s">
        <v>6</v>
      </c>
      <c r="D1335">
        <v>1782.69</v>
      </c>
      <c r="E1335" t="s">
        <v>7</v>
      </c>
      <c r="F1335" s="2" t="str">
        <f t="shared" si="60"/>
        <v>Jun</v>
      </c>
      <c r="G1335" s="2">
        <f t="shared" si="61"/>
        <v>2024</v>
      </c>
      <c r="H1335" s="2">
        <f t="shared" si="62"/>
        <v>-1782.69</v>
      </c>
    </row>
    <row r="1336" spans="1:8" x14ac:dyDescent="0.25">
      <c r="A1336" s="1">
        <v>45460</v>
      </c>
      <c r="B1336" t="s">
        <v>1351</v>
      </c>
      <c r="C1336" t="s">
        <v>13</v>
      </c>
      <c r="D1336">
        <v>2615</v>
      </c>
      <c r="E1336" t="s">
        <v>14</v>
      </c>
      <c r="F1336" s="2" t="str">
        <f t="shared" si="60"/>
        <v>Jun</v>
      </c>
      <c r="G1336" s="2">
        <f t="shared" si="61"/>
        <v>2024</v>
      </c>
      <c r="H1336" s="2">
        <f t="shared" si="62"/>
        <v>2615</v>
      </c>
    </row>
    <row r="1337" spans="1:8" x14ac:dyDescent="0.25">
      <c r="A1337" s="1">
        <v>45464</v>
      </c>
      <c r="B1337" t="s">
        <v>1352</v>
      </c>
      <c r="C1337" t="s">
        <v>17</v>
      </c>
      <c r="D1337">
        <v>1202.72</v>
      </c>
      <c r="E1337" t="s">
        <v>7</v>
      </c>
      <c r="F1337" s="2" t="str">
        <f t="shared" si="60"/>
        <v>Jun</v>
      </c>
      <c r="G1337" s="2">
        <f t="shared" si="61"/>
        <v>2024</v>
      </c>
      <c r="H1337" s="2">
        <f t="shared" si="62"/>
        <v>-1202.72</v>
      </c>
    </row>
    <row r="1338" spans="1:8" x14ac:dyDescent="0.25">
      <c r="A1338" s="1">
        <v>45464</v>
      </c>
      <c r="B1338" t="s">
        <v>1353</v>
      </c>
      <c r="C1338" t="s">
        <v>6</v>
      </c>
      <c r="D1338">
        <v>1758.23</v>
      </c>
      <c r="E1338" t="s">
        <v>7</v>
      </c>
      <c r="F1338" s="2" t="str">
        <f t="shared" si="60"/>
        <v>Jun</v>
      </c>
      <c r="G1338" s="2">
        <f t="shared" si="61"/>
        <v>2024</v>
      </c>
      <c r="H1338" s="2">
        <f t="shared" si="62"/>
        <v>-1758.23</v>
      </c>
    </row>
    <row r="1339" spans="1:8" x14ac:dyDescent="0.25">
      <c r="A1339" s="1">
        <v>45465</v>
      </c>
      <c r="B1339" t="s">
        <v>1354</v>
      </c>
      <c r="C1339" t="s">
        <v>35</v>
      </c>
      <c r="D1339">
        <v>1895.04</v>
      </c>
      <c r="E1339" t="s">
        <v>7</v>
      </c>
      <c r="F1339" s="2" t="str">
        <f t="shared" si="60"/>
        <v>Jun</v>
      </c>
      <c r="G1339" s="2">
        <f t="shared" si="61"/>
        <v>2024</v>
      </c>
      <c r="H1339" s="2">
        <f t="shared" si="62"/>
        <v>-1895.04</v>
      </c>
    </row>
    <row r="1340" spans="1:8" x14ac:dyDescent="0.25">
      <c r="A1340" s="1">
        <v>45466</v>
      </c>
      <c r="B1340" t="s">
        <v>1355</v>
      </c>
      <c r="C1340" t="s">
        <v>27</v>
      </c>
      <c r="D1340">
        <v>1735.93</v>
      </c>
      <c r="E1340" t="s">
        <v>7</v>
      </c>
      <c r="F1340" s="2" t="str">
        <f t="shared" si="60"/>
        <v>Jun</v>
      </c>
      <c r="G1340" s="2">
        <f t="shared" si="61"/>
        <v>2024</v>
      </c>
      <c r="H1340" s="2">
        <f t="shared" si="62"/>
        <v>-1735.93</v>
      </c>
    </row>
    <row r="1341" spans="1:8" x14ac:dyDescent="0.25">
      <c r="A1341" s="1">
        <v>45466</v>
      </c>
      <c r="B1341" t="s">
        <v>1356</v>
      </c>
      <c r="C1341" t="s">
        <v>20</v>
      </c>
      <c r="D1341">
        <v>1669</v>
      </c>
      <c r="E1341" t="s">
        <v>14</v>
      </c>
      <c r="F1341" s="2" t="str">
        <f t="shared" si="60"/>
        <v>Jun</v>
      </c>
      <c r="G1341" s="2">
        <f t="shared" si="61"/>
        <v>2024</v>
      </c>
      <c r="H1341" s="2">
        <f t="shared" si="62"/>
        <v>1669</v>
      </c>
    </row>
    <row r="1342" spans="1:8" x14ac:dyDescent="0.25">
      <c r="A1342" s="1">
        <v>45466</v>
      </c>
      <c r="B1342" t="s">
        <v>1357</v>
      </c>
      <c r="C1342" t="s">
        <v>9</v>
      </c>
      <c r="D1342">
        <v>1250.19</v>
      </c>
      <c r="E1342" t="s">
        <v>7</v>
      </c>
      <c r="F1342" s="2" t="str">
        <f t="shared" si="60"/>
        <v>Jun</v>
      </c>
      <c r="G1342" s="2">
        <f t="shared" si="61"/>
        <v>2024</v>
      </c>
      <c r="H1342" s="2">
        <f t="shared" si="62"/>
        <v>-1250.19</v>
      </c>
    </row>
    <row r="1343" spans="1:8" x14ac:dyDescent="0.25">
      <c r="A1343" s="1">
        <v>45466</v>
      </c>
      <c r="B1343" t="s">
        <v>1358</v>
      </c>
      <c r="C1343" t="s">
        <v>9</v>
      </c>
      <c r="D1343">
        <v>1451.13</v>
      </c>
      <c r="E1343" t="s">
        <v>7</v>
      </c>
      <c r="F1343" s="2" t="str">
        <f t="shared" si="60"/>
        <v>Jun</v>
      </c>
      <c r="G1343" s="2">
        <f t="shared" si="61"/>
        <v>2024</v>
      </c>
      <c r="H1343" s="2">
        <f t="shared" si="62"/>
        <v>-1451.13</v>
      </c>
    </row>
    <row r="1344" spans="1:8" x14ac:dyDescent="0.25">
      <c r="A1344" s="1">
        <v>45466</v>
      </c>
      <c r="B1344" t="s">
        <v>1359</v>
      </c>
      <c r="C1344" t="s">
        <v>27</v>
      </c>
      <c r="D1344">
        <v>1197.0999999999999</v>
      </c>
      <c r="E1344" t="s">
        <v>7</v>
      </c>
      <c r="F1344" s="2" t="str">
        <f t="shared" si="60"/>
        <v>Jun</v>
      </c>
      <c r="G1344" s="2">
        <f t="shared" si="61"/>
        <v>2024</v>
      </c>
      <c r="H1344" s="2">
        <f t="shared" si="62"/>
        <v>-1197.0999999999999</v>
      </c>
    </row>
    <row r="1345" spans="1:8" x14ac:dyDescent="0.25">
      <c r="A1345" s="1">
        <v>45474</v>
      </c>
      <c r="B1345" t="s">
        <v>1360</v>
      </c>
      <c r="C1345" t="s">
        <v>20</v>
      </c>
      <c r="D1345">
        <v>3657</v>
      </c>
      <c r="E1345" t="s">
        <v>14</v>
      </c>
      <c r="F1345" s="2" t="str">
        <f t="shared" si="60"/>
        <v>Jul</v>
      </c>
      <c r="G1345" s="2">
        <f t="shared" si="61"/>
        <v>2024</v>
      </c>
      <c r="H1345" s="2">
        <f t="shared" si="62"/>
        <v>3657</v>
      </c>
    </row>
    <row r="1346" spans="1:8" x14ac:dyDescent="0.25">
      <c r="A1346" s="1">
        <v>45478</v>
      </c>
      <c r="B1346" t="s">
        <v>1361</v>
      </c>
      <c r="C1346" t="s">
        <v>13</v>
      </c>
      <c r="D1346">
        <v>2157</v>
      </c>
      <c r="E1346" t="s">
        <v>14</v>
      </c>
      <c r="F1346" s="2" t="str">
        <f t="shared" ref="F1346:F1409" si="63">TEXT(A1346,"mmm")</f>
        <v>Jul</v>
      </c>
      <c r="G1346" s="2">
        <f t="shared" ref="G1346:G1409" si="64">YEAR(A1346)</f>
        <v>2024</v>
      </c>
      <c r="H1346" s="2">
        <f t="shared" ref="H1346:H1409" si="65">IF(E1346="Income",D1346,-D1346)</f>
        <v>2157</v>
      </c>
    </row>
    <row r="1347" spans="1:8" x14ac:dyDescent="0.25">
      <c r="A1347" s="1">
        <v>45479</v>
      </c>
      <c r="B1347" t="s">
        <v>1362</v>
      </c>
      <c r="C1347" t="s">
        <v>17</v>
      </c>
      <c r="D1347">
        <v>1654.76</v>
      </c>
      <c r="E1347" t="s">
        <v>7</v>
      </c>
      <c r="F1347" s="2" t="str">
        <f t="shared" si="63"/>
        <v>Jul</v>
      </c>
      <c r="G1347" s="2">
        <f t="shared" si="64"/>
        <v>2024</v>
      </c>
      <c r="H1347" s="2">
        <f t="shared" si="65"/>
        <v>-1654.76</v>
      </c>
    </row>
    <row r="1348" spans="1:8" x14ac:dyDescent="0.25">
      <c r="A1348" s="1">
        <v>45480</v>
      </c>
      <c r="B1348" t="s">
        <v>1363</v>
      </c>
      <c r="C1348" t="s">
        <v>9</v>
      </c>
      <c r="D1348">
        <v>956.98</v>
      </c>
      <c r="E1348" t="s">
        <v>7</v>
      </c>
      <c r="F1348" s="2" t="str">
        <f t="shared" si="63"/>
        <v>Jul</v>
      </c>
      <c r="G1348" s="2">
        <f t="shared" si="64"/>
        <v>2024</v>
      </c>
      <c r="H1348" s="2">
        <f t="shared" si="65"/>
        <v>-956.98</v>
      </c>
    </row>
    <row r="1349" spans="1:8" x14ac:dyDescent="0.25">
      <c r="A1349" s="1">
        <v>45480</v>
      </c>
      <c r="B1349" t="s">
        <v>1364</v>
      </c>
      <c r="C1349" t="s">
        <v>6</v>
      </c>
      <c r="D1349">
        <v>1756.73</v>
      </c>
      <c r="E1349" t="s">
        <v>7</v>
      </c>
      <c r="F1349" s="2" t="str">
        <f t="shared" si="63"/>
        <v>Jul</v>
      </c>
      <c r="G1349" s="2">
        <f t="shared" si="64"/>
        <v>2024</v>
      </c>
      <c r="H1349" s="2">
        <f t="shared" si="65"/>
        <v>-1756.73</v>
      </c>
    </row>
    <row r="1350" spans="1:8" x14ac:dyDescent="0.25">
      <c r="A1350" s="1">
        <v>45480</v>
      </c>
      <c r="B1350" t="s">
        <v>1365</v>
      </c>
      <c r="C1350" t="s">
        <v>11</v>
      </c>
      <c r="D1350">
        <v>195.45</v>
      </c>
      <c r="E1350" t="s">
        <v>7</v>
      </c>
      <c r="F1350" s="2" t="str">
        <f t="shared" si="63"/>
        <v>Jul</v>
      </c>
      <c r="G1350" s="2">
        <f t="shared" si="64"/>
        <v>2024</v>
      </c>
      <c r="H1350" s="2">
        <f t="shared" si="65"/>
        <v>-195.45</v>
      </c>
    </row>
    <row r="1351" spans="1:8" x14ac:dyDescent="0.25">
      <c r="A1351" s="1">
        <v>45480</v>
      </c>
      <c r="B1351" t="s">
        <v>1366</v>
      </c>
      <c r="C1351" t="s">
        <v>6</v>
      </c>
      <c r="D1351">
        <v>1794.97</v>
      </c>
      <c r="E1351" t="s">
        <v>7</v>
      </c>
      <c r="F1351" s="2" t="str">
        <f t="shared" si="63"/>
        <v>Jul</v>
      </c>
      <c r="G1351" s="2">
        <f t="shared" si="64"/>
        <v>2024</v>
      </c>
      <c r="H1351" s="2">
        <f t="shared" si="65"/>
        <v>-1794.97</v>
      </c>
    </row>
    <row r="1352" spans="1:8" x14ac:dyDescent="0.25">
      <c r="A1352" s="1">
        <v>45486</v>
      </c>
      <c r="B1352" t="s">
        <v>1367</v>
      </c>
      <c r="C1352" t="s">
        <v>17</v>
      </c>
      <c r="D1352">
        <v>1048.8699999999999</v>
      </c>
      <c r="E1352" t="s">
        <v>7</v>
      </c>
      <c r="F1352" s="2" t="str">
        <f t="shared" si="63"/>
        <v>Jul</v>
      </c>
      <c r="G1352" s="2">
        <f t="shared" si="64"/>
        <v>2024</v>
      </c>
      <c r="H1352" s="2">
        <f t="shared" si="65"/>
        <v>-1048.8699999999999</v>
      </c>
    </row>
    <row r="1353" spans="1:8" x14ac:dyDescent="0.25">
      <c r="A1353" s="1">
        <v>45486</v>
      </c>
      <c r="B1353" t="s">
        <v>1368</v>
      </c>
      <c r="C1353" t="s">
        <v>6</v>
      </c>
      <c r="D1353">
        <v>1398.31</v>
      </c>
      <c r="E1353" t="s">
        <v>7</v>
      </c>
      <c r="F1353" s="2" t="str">
        <f t="shared" si="63"/>
        <v>Jul</v>
      </c>
      <c r="G1353" s="2">
        <f t="shared" si="64"/>
        <v>2024</v>
      </c>
      <c r="H1353" s="2">
        <f t="shared" si="65"/>
        <v>-1398.31</v>
      </c>
    </row>
    <row r="1354" spans="1:8" x14ac:dyDescent="0.25">
      <c r="A1354" s="1">
        <v>45489</v>
      </c>
      <c r="B1354" t="s">
        <v>1369</v>
      </c>
      <c r="C1354" t="s">
        <v>27</v>
      </c>
      <c r="D1354">
        <v>1581.22</v>
      </c>
      <c r="E1354" t="s">
        <v>7</v>
      </c>
      <c r="F1354" s="2" t="str">
        <f t="shared" si="63"/>
        <v>Jul</v>
      </c>
      <c r="G1354" s="2">
        <f t="shared" si="64"/>
        <v>2024</v>
      </c>
      <c r="H1354" s="2">
        <f t="shared" si="65"/>
        <v>-1581.22</v>
      </c>
    </row>
    <row r="1355" spans="1:8" x14ac:dyDescent="0.25">
      <c r="A1355" s="1">
        <v>45493</v>
      </c>
      <c r="B1355" t="s">
        <v>1370</v>
      </c>
      <c r="C1355" t="s">
        <v>11</v>
      </c>
      <c r="D1355">
        <v>856.72</v>
      </c>
      <c r="E1355" t="s">
        <v>7</v>
      </c>
      <c r="F1355" s="2" t="str">
        <f t="shared" si="63"/>
        <v>Jul</v>
      </c>
      <c r="G1355" s="2">
        <f t="shared" si="64"/>
        <v>2024</v>
      </c>
      <c r="H1355" s="2">
        <f t="shared" si="65"/>
        <v>-856.72</v>
      </c>
    </row>
    <row r="1356" spans="1:8" x14ac:dyDescent="0.25">
      <c r="A1356" s="1">
        <v>45494</v>
      </c>
      <c r="B1356" t="s">
        <v>1371</v>
      </c>
      <c r="C1356" t="s">
        <v>22</v>
      </c>
      <c r="D1356">
        <v>1821.07</v>
      </c>
      <c r="E1356" t="s">
        <v>7</v>
      </c>
      <c r="F1356" s="2" t="str">
        <f t="shared" si="63"/>
        <v>Jul</v>
      </c>
      <c r="G1356" s="2">
        <f t="shared" si="64"/>
        <v>2024</v>
      </c>
      <c r="H1356" s="2">
        <f t="shared" si="65"/>
        <v>-1821.07</v>
      </c>
    </row>
    <row r="1357" spans="1:8" x14ac:dyDescent="0.25">
      <c r="A1357" s="1">
        <v>45495</v>
      </c>
      <c r="B1357" t="s">
        <v>1372</v>
      </c>
      <c r="C1357" t="s">
        <v>20</v>
      </c>
      <c r="D1357">
        <v>2611</v>
      </c>
      <c r="E1357" t="s">
        <v>14</v>
      </c>
      <c r="F1357" s="2" t="str">
        <f t="shared" si="63"/>
        <v>Jul</v>
      </c>
      <c r="G1357" s="2">
        <f t="shared" si="64"/>
        <v>2024</v>
      </c>
      <c r="H1357" s="2">
        <f t="shared" si="65"/>
        <v>2611</v>
      </c>
    </row>
    <row r="1358" spans="1:8" x14ac:dyDescent="0.25">
      <c r="A1358" s="1">
        <v>45496</v>
      </c>
      <c r="B1358" t="s">
        <v>1373</v>
      </c>
      <c r="C1358" t="s">
        <v>13</v>
      </c>
      <c r="D1358">
        <v>4780</v>
      </c>
      <c r="E1358" t="s">
        <v>14</v>
      </c>
      <c r="F1358" s="2" t="str">
        <f t="shared" si="63"/>
        <v>Jul</v>
      </c>
      <c r="G1358" s="2">
        <f t="shared" si="64"/>
        <v>2024</v>
      </c>
      <c r="H1358" s="2">
        <f t="shared" si="65"/>
        <v>4780</v>
      </c>
    </row>
    <row r="1359" spans="1:8" x14ac:dyDescent="0.25">
      <c r="A1359" s="1">
        <v>45496</v>
      </c>
      <c r="B1359" t="s">
        <v>1374</v>
      </c>
      <c r="C1359" t="s">
        <v>13</v>
      </c>
      <c r="D1359">
        <v>3572</v>
      </c>
      <c r="E1359" t="s">
        <v>14</v>
      </c>
      <c r="F1359" s="2" t="str">
        <f t="shared" si="63"/>
        <v>Jul</v>
      </c>
      <c r="G1359" s="2">
        <f t="shared" si="64"/>
        <v>2024</v>
      </c>
      <c r="H1359" s="2">
        <f t="shared" si="65"/>
        <v>3572</v>
      </c>
    </row>
    <row r="1360" spans="1:8" x14ac:dyDescent="0.25">
      <c r="A1360" s="1">
        <v>45498</v>
      </c>
      <c r="B1360" t="s">
        <v>1375</v>
      </c>
      <c r="C1360" t="s">
        <v>25</v>
      </c>
      <c r="D1360">
        <v>823.6</v>
      </c>
      <c r="E1360" t="s">
        <v>7</v>
      </c>
      <c r="F1360" s="2" t="str">
        <f t="shared" si="63"/>
        <v>Jul</v>
      </c>
      <c r="G1360" s="2">
        <f t="shared" si="64"/>
        <v>2024</v>
      </c>
      <c r="H1360" s="2">
        <f t="shared" si="65"/>
        <v>-823.6</v>
      </c>
    </row>
    <row r="1361" spans="1:8" x14ac:dyDescent="0.25">
      <c r="A1361" s="1">
        <v>45499</v>
      </c>
      <c r="B1361" t="s">
        <v>1376</v>
      </c>
      <c r="C1361" t="s">
        <v>20</v>
      </c>
      <c r="D1361">
        <v>2577</v>
      </c>
      <c r="E1361" t="s">
        <v>14</v>
      </c>
      <c r="F1361" s="2" t="str">
        <f t="shared" si="63"/>
        <v>Jul</v>
      </c>
      <c r="G1361" s="2">
        <f t="shared" si="64"/>
        <v>2024</v>
      </c>
      <c r="H1361" s="2">
        <f t="shared" si="65"/>
        <v>2577</v>
      </c>
    </row>
    <row r="1362" spans="1:8" x14ac:dyDescent="0.25">
      <c r="A1362" s="1">
        <v>45499</v>
      </c>
      <c r="B1362" t="s">
        <v>1377</v>
      </c>
      <c r="C1362" t="s">
        <v>17</v>
      </c>
      <c r="D1362">
        <v>1133.69</v>
      </c>
      <c r="E1362" t="s">
        <v>7</v>
      </c>
      <c r="F1362" s="2" t="str">
        <f t="shared" si="63"/>
        <v>Jul</v>
      </c>
      <c r="G1362" s="2">
        <f t="shared" si="64"/>
        <v>2024</v>
      </c>
      <c r="H1362" s="2">
        <f t="shared" si="65"/>
        <v>-1133.69</v>
      </c>
    </row>
    <row r="1363" spans="1:8" x14ac:dyDescent="0.25">
      <c r="A1363" s="1">
        <v>45499</v>
      </c>
      <c r="B1363" t="s">
        <v>1378</v>
      </c>
      <c r="C1363" t="s">
        <v>17</v>
      </c>
      <c r="D1363">
        <v>1512.39</v>
      </c>
      <c r="E1363" t="s">
        <v>7</v>
      </c>
      <c r="F1363" s="2" t="str">
        <f t="shared" si="63"/>
        <v>Jul</v>
      </c>
      <c r="G1363" s="2">
        <f t="shared" si="64"/>
        <v>2024</v>
      </c>
      <c r="H1363" s="2">
        <f t="shared" si="65"/>
        <v>-1512.39</v>
      </c>
    </row>
    <row r="1364" spans="1:8" x14ac:dyDescent="0.25">
      <c r="A1364" s="1">
        <v>45499</v>
      </c>
      <c r="B1364" t="s">
        <v>1379</v>
      </c>
      <c r="C1364" t="s">
        <v>27</v>
      </c>
      <c r="D1364">
        <v>365.65</v>
      </c>
      <c r="E1364" t="s">
        <v>7</v>
      </c>
      <c r="F1364" s="2" t="str">
        <f t="shared" si="63"/>
        <v>Jul</v>
      </c>
      <c r="G1364" s="2">
        <f t="shared" si="64"/>
        <v>2024</v>
      </c>
      <c r="H1364" s="2">
        <f t="shared" si="65"/>
        <v>-365.65</v>
      </c>
    </row>
    <row r="1365" spans="1:8" x14ac:dyDescent="0.25">
      <c r="A1365" s="1">
        <v>45500</v>
      </c>
      <c r="B1365" t="s">
        <v>1380</v>
      </c>
      <c r="C1365" t="s">
        <v>27</v>
      </c>
      <c r="D1365">
        <v>515.02</v>
      </c>
      <c r="E1365" t="s">
        <v>7</v>
      </c>
      <c r="F1365" s="2" t="str">
        <f t="shared" si="63"/>
        <v>Jul</v>
      </c>
      <c r="G1365" s="2">
        <f t="shared" si="64"/>
        <v>2024</v>
      </c>
      <c r="H1365" s="2">
        <f t="shared" si="65"/>
        <v>-515.02</v>
      </c>
    </row>
    <row r="1366" spans="1:8" x14ac:dyDescent="0.25">
      <c r="A1366" s="1">
        <v>45500</v>
      </c>
      <c r="B1366" t="s">
        <v>1381</v>
      </c>
      <c r="C1366" t="s">
        <v>25</v>
      </c>
      <c r="D1366">
        <v>1550.65</v>
      </c>
      <c r="E1366" t="s">
        <v>7</v>
      </c>
      <c r="F1366" s="2" t="str">
        <f t="shared" si="63"/>
        <v>Jul</v>
      </c>
      <c r="G1366" s="2">
        <f t="shared" si="64"/>
        <v>2024</v>
      </c>
      <c r="H1366" s="2">
        <f t="shared" si="65"/>
        <v>-1550.65</v>
      </c>
    </row>
    <row r="1367" spans="1:8" x14ac:dyDescent="0.25">
      <c r="A1367" s="1">
        <v>45500</v>
      </c>
      <c r="B1367" t="s">
        <v>1382</v>
      </c>
      <c r="C1367" t="s">
        <v>9</v>
      </c>
      <c r="D1367">
        <v>1711.45</v>
      </c>
      <c r="E1367" t="s">
        <v>7</v>
      </c>
      <c r="F1367" s="2" t="str">
        <f t="shared" si="63"/>
        <v>Jul</v>
      </c>
      <c r="G1367" s="2">
        <f t="shared" si="64"/>
        <v>2024</v>
      </c>
      <c r="H1367" s="2">
        <f t="shared" si="65"/>
        <v>-1711.45</v>
      </c>
    </row>
    <row r="1368" spans="1:8" x14ac:dyDescent="0.25">
      <c r="A1368" s="1">
        <v>45501</v>
      </c>
      <c r="B1368" t="s">
        <v>1383</v>
      </c>
      <c r="C1368" t="s">
        <v>22</v>
      </c>
      <c r="D1368">
        <v>898.72</v>
      </c>
      <c r="E1368" t="s">
        <v>7</v>
      </c>
      <c r="F1368" s="2" t="str">
        <f t="shared" si="63"/>
        <v>Jul</v>
      </c>
      <c r="G1368" s="2">
        <f t="shared" si="64"/>
        <v>2024</v>
      </c>
      <c r="H1368" s="2">
        <f t="shared" si="65"/>
        <v>-898.72</v>
      </c>
    </row>
    <row r="1369" spans="1:8" x14ac:dyDescent="0.25">
      <c r="A1369" s="1">
        <v>45501</v>
      </c>
      <c r="B1369" t="s">
        <v>1384</v>
      </c>
      <c r="C1369" t="s">
        <v>9</v>
      </c>
      <c r="D1369">
        <v>209.55</v>
      </c>
      <c r="E1369" t="s">
        <v>7</v>
      </c>
      <c r="F1369" s="2" t="str">
        <f t="shared" si="63"/>
        <v>Jul</v>
      </c>
      <c r="G1369" s="2">
        <f t="shared" si="64"/>
        <v>2024</v>
      </c>
      <c r="H1369" s="2">
        <f t="shared" si="65"/>
        <v>-209.55</v>
      </c>
    </row>
    <row r="1370" spans="1:8" x14ac:dyDescent="0.25">
      <c r="A1370" s="1">
        <v>45502</v>
      </c>
      <c r="B1370" t="s">
        <v>1385</v>
      </c>
      <c r="C1370" t="s">
        <v>25</v>
      </c>
      <c r="D1370">
        <v>1603.7</v>
      </c>
      <c r="E1370" t="s">
        <v>7</v>
      </c>
      <c r="F1370" s="2" t="str">
        <f t="shared" si="63"/>
        <v>Jul</v>
      </c>
      <c r="G1370" s="2">
        <f t="shared" si="64"/>
        <v>2024</v>
      </c>
      <c r="H1370" s="2">
        <f t="shared" si="65"/>
        <v>-1603.7</v>
      </c>
    </row>
    <row r="1371" spans="1:8" x14ac:dyDescent="0.25">
      <c r="A1371" s="1">
        <v>45502</v>
      </c>
      <c r="B1371" t="s">
        <v>1386</v>
      </c>
      <c r="C1371" t="s">
        <v>6</v>
      </c>
      <c r="D1371">
        <v>329.87</v>
      </c>
      <c r="E1371" t="s">
        <v>7</v>
      </c>
      <c r="F1371" s="2" t="str">
        <f t="shared" si="63"/>
        <v>Jul</v>
      </c>
      <c r="G1371" s="2">
        <f t="shared" si="64"/>
        <v>2024</v>
      </c>
      <c r="H1371" s="2">
        <f t="shared" si="65"/>
        <v>-329.87</v>
      </c>
    </row>
    <row r="1372" spans="1:8" x14ac:dyDescent="0.25">
      <c r="A1372" s="1">
        <v>45502</v>
      </c>
      <c r="B1372" t="s">
        <v>1387</v>
      </c>
      <c r="C1372" t="s">
        <v>6</v>
      </c>
      <c r="D1372">
        <v>1610.7</v>
      </c>
      <c r="E1372" t="s">
        <v>7</v>
      </c>
      <c r="F1372" s="2" t="str">
        <f t="shared" si="63"/>
        <v>Jul</v>
      </c>
      <c r="G1372" s="2">
        <f t="shared" si="64"/>
        <v>2024</v>
      </c>
      <c r="H1372" s="2">
        <f t="shared" si="65"/>
        <v>-1610.7</v>
      </c>
    </row>
    <row r="1373" spans="1:8" x14ac:dyDescent="0.25">
      <c r="A1373" s="1">
        <v>45503</v>
      </c>
      <c r="B1373" t="s">
        <v>1388</v>
      </c>
      <c r="C1373" t="s">
        <v>27</v>
      </c>
      <c r="D1373">
        <v>1852.46</v>
      </c>
      <c r="E1373" t="s">
        <v>7</v>
      </c>
      <c r="F1373" s="2" t="str">
        <f t="shared" si="63"/>
        <v>Jul</v>
      </c>
      <c r="G1373" s="2">
        <f t="shared" si="64"/>
        <v>2024</v>
      </c>
      <c r="H1373" s="2">
        <f t="shared" si="65"/>
        <v>-1852.46</v>
      </c>
    </row>
    <row r="1374" spans="1:8" x14ac:dyDescent="0.25">
      <c r="A1374" s="1">
        <v>45503</v>
      </c>
      <c r="B1374" t="s">
        <v>1389</v>
      </c>
      <c r="C1374" t="s">
        <v>11</v>
      </c>
      <c r="D1374">
        <v>533.54999999999995</v>
      </c>
      <c r="E1374" t="s">
        <v>7</v>
      </c>
      <c r="F1374" s="2" t="str">
        <f t="shared" si="63"/>
        <v>Jul</v>
      </c>
      <c r="G1374" s="2">
        <f t="shared" si="64"/>
        <v>2024</v>
      </c>
      <c r="H1374" s="2">
        <f t="shared" si="65"/>
        <v>-533.54999999999995</v>
      </c>
    </row>
    <row r="1375" spans="1:8" x14ac:dyDescent="0.25">
      <c r="A1375" s="1">
        <v>45505</v>
      </c>
      <c r="B1375" t="s">
        <v>1390</v>
      </c>
      <c r="C1375" t="s">
        <v>6</v>
      </c>
      <c r="D1375">
        <v>1451.74</v>
      </c>
      <c r="E1375" t="s">
        <v>7</v>
      </c>
      <c r="F1375" s="2" t="str">
        <f t="shared" si="63"/>
        <v>Aug</v>
      </c>
      <c r="G1375" s="2">
        <f t="shared" si="64"/>
        <v>2024</v>
      </c>
      <c r="H1375" s="2">
        <f t="shared" si="65"/>
        <v>-1451.74</v>
      </c>
    </row>
    <row r="1376" spans="1:8" x14ac:dyDescent="0.25">
      <c r="A1376" s="1">
        <v>45506</v>
      </c>
      <c r="B1376" t="s">
        <v>1391</v>
      </c>
      <c r="C1376" t="s">
        <v>17</v>
      </c>
      <c r="D1376">
        <v>1231.79</v>
      </c>
      <c r="E1376" t="s">
        <v>7</v>
      </c>
      <c r="F1376" s="2" t="str">
        <f t="shared" si="63"/>
        <v>Aug</v>
      </c>
      <c r="G1376" s="2">
        <f t="shared" si="64"/>
        <v>2024</v>
      </c>
      <c r="H1376" s="2">
        <f t="shared" si="65"/>
        <v>-1231.79</v>
      </c>
    </row>
    <row r="1377" spans="1:8" x14ac:dyDescent="0.25">
      <c r="A1377" s="1">
        <v>45506</v>
      </c>
      <c r="B1377" t="s">
        <v>1392</v>
      </c>
      <c r="C1377" t="s">
        <v>6</v>
      </c>
      <c r="D1377">
        <v>1891.97</v>
      </c>
      <c r="E1377" t="s">
        <v>7</v>
      </c>
      <c r="F1377" s="2" t="str">
        <f t="shared" si="63"/>
        <v>Aug</v>
      </c>
      <c r="G1377" s="2">
        <f t="shared" si="64"/>
        <v>2024</v>
      </c>
      <c r="H1377" s="2">
        <f t="shared" si="65"/>
        <v>-1891.97</v>
      </c>
    </row>
    <row r="1378" spans="1:8" x14ac:dyDescent="0.25">
      <c r="A1378" s="1">
        <v>45507</v>
      </c>
      <c r="B1378" t="s">
        <v>1393</v>
      </c>
      <c r="C1378" t="s">
        <v>27</v>
      </c>
      <c r="D1378">
        <v>883.55</v>
      </c>
      <c r="E1378" t="s">
        <v>7</v>
      </c>
      <c r="F1378" s="2" t="str">
        <f t="shared" si="63"/>
        <v>Aug</v>
      </c>
      <c r="G1378" s="2">
        <f t="shared" si="64"/>
        <v>2024</v>
      </c>
      <c r="H1378" s="2">
        <f t="shared" si="65"/>
        <v>-883.55</v>
      </c>
    </row>
    <row r="1379" spans="1:8" x14ac:dyDescent="0.25">
      <c r="A1379" s="1">
        <v>45507</v>
      </c>
      <c r="B1379" t="s">
        <v>1394</v>
      </c>
      <c r="C1379" t="s">
        <v>35</v>
      </c>
      <c r="D1379">
        <v>397.55</v>
      </c>
      <c r="E1379" t="s">
        <v>7</v>
      </c>
      <c r="F1379" s="2" t="str">
        <f t="shared" si="63"/>
        <v>Aug</v>
      </c>
      <c r="G1379" s="2">
        <f t="shared" si="64"/>
        <v>2024</v>
      </c>
      <c r="H1379" s="2">
        <f t="shared" si="65"/>
        <v>-397.55</v>
      </c>
    </row>
    <row r="1380" spans="1:8" x14ac:dyDescent="0.25">
      <c r="A1380" s="1">
        <v>45512</v>
      </c>
      <c r="B1380" t="s">
        <v>1395</v>
      </c>
      <c r="C1380" t="s">
        <v>22</v>
      </c>
      <c r="D1380">
        <v>1234.23</v>
      </c>
      <c r="E1380" t="s">
        <v>7</v>
      </c>
      <c r="F1380" s="2" t="str">
        <f t="shared" si="63"/>
        <v>Aug</v>
      </c>
      <c r="G1380" s="2">
        <f t="shared" si="64"/>
        <v>2024</v>
      </c>
      <c r="H1380" s="2">
        <f t="shared" si="65"/>
        <v>-1234.23</v>
      </c>
    </row>
    <row r="1381" spans="1:8" x14ac:dyDescent="0.25">
      <c r="A1381" s="1">
        <v>45513</v>
      </c>
      <c r="B1381" t="s">
        <v>1396</v>
      </c>
      <c r="C1381" t="s">
        <v>25</v>
      </c>
      <c r="D1381">
        <v>486.12</v>
      </c>
      <c r="E1381" t="s">
        <v>7</v>
      </c>
      <c r="F1381" s="2" t="str">
        <f t="shared" si="63"/>
        <v>Aug</v>
      </c>
      <c r="G1381" s="2">
        <f t="shared" si="64"/>
        <v>2024</v>
      </c>
      <c r="H1381" s="2">
        <f t="shared" si="65"/>
        <v>-486.12</v>
      </c>
    </row>
    <row r="1382" spans="1:8" x14ac:dyDescent="0.25">
      <c r="A1382" s="1">
        <v>45515</v>
      </c>
      <c r="B1382" t="s">
        <v>1397</v>
      </c>
      <c r="C1382" t="s">
        <v>13</v>
      </c>
      <c r="D1382">
        <v>1211</v>
      </c>
      <c r="E1382" t="s">
        <v>14</v>
      </c>
      <c r="F1382" s="2" t="str">
        <f t="shared" si="63"/>
        <v>Aug</v>
      </c>
      <c r="G1382" s="2">
        <f t="shared" si="64"/>
        <v>2024</v>
      </c>
      <c r="H1382" s="2">
        <f t="shared" si="65"/>
        <v>1211</v>
      </c>
    </row>
    <row r="1383" spans="1:8" x14ac:dyDescent="0.25">
      <c r="A1383" s="1">
        <v>45518</v>
      </c>
      <c r="B1383" t="s">
        <v>1398</v>
      </c>
      <c r="C1383" t="s">
        <v>17</v>
      </c>
      <c r="D1383">
        <v>712.72</v>
      </c>
      <c r="E1383" t="s">
        <v>7</v>
      </c>
      <c r="F1383" s="2" t="str">
        <f t="shared" si="63"/>
        <v>Aug</v>
      </c>
      <c r="G1383" s="2">
        <f t="shared" si="64"/>
        <v>2024</v>
      </c>
      <c r="H1383" s="2">
        <f t="shared" si="65"/>
        <v>-712.72</v>
      </c>
    </row>
    <row r="1384" spans="1:8" x14ac:dyDescent="0.25">
      <c r="A1384" s="1">
        <v>45518</v>
      </c>
      <c r="B1384" t="s">
        <v>1399</v>
      </c>
      <c r="C1384" t="s">
        <v>22</v>
      </c>
      <c r="D1384">
        <v>1040.31</v>
      </c>
      <c r="E1384" t="s">
        <v>7</v>
      </c>
      <c r="F1384" s="2" t="str">
        <f t="shared" si="63"/>
        <v>Aug</v>
      </c>
      <c r="G1384" s="2">
        <f t="shared" si="64"/>
        <v>2024</v>
      </c>
      <c r="H1384" s="2">
        <f t="shared" si="65"/>
        <v>-1040.31</v>
      </c>
    </row>
    <row r="1385" spans="1:8" x14ac:dyDescent="0.25">
      <c r="A1385" s="1">
        <v>45518</v>
      </c>
      <c r="B1385" t="s">
        <v>1400</v>
      </c>
      <c r="C1385" t="s">
        <v>11</v>
      </c>
      <c r="D1385">
        <v>1839.16</v>
      </c>
      <c r="E1385" t="s">
        <v>7</v>
      </c>
      <c r="F1385" s="2" t="str">
        <f t="shared" si="63"/>
        <v>Aug</v>
      </c>
      <c r="G1385" s="2">
        <f t="shared" si="64"/>
        <v>2024</v>
      </c>
      <c r="H1385" s="2">
        <f t="shared" si="65"/>
        <v>-1839.16</v>
      </c>
    </row>
    <row r="1386" spans="1:8" x14ac:dyDescent="0.25">
      <c r="A1386" s="1">
        <v>45519</v>
      </c>
      <c r="B1386" t="s">
        <v>1401</v>
      </c>
      <c r="C1386" t="s">
        <v>25</v>
      </c>
      <c r="D1386">
        <v>701.48</v>
      </c>
      <c r="E1386" t="s">
        <v>7</v>
      </c>
      <c r="F1386" s="2" t="str">
        <f t="shared" si="63"/>
        <v>Aug</v>
      </c>
      <c r="G1386" s="2">
        <f t="shared" si="64"/>
        <v>2024</v>
      </c>
      <c r="H1386" s="2">
        <f t="shared" si="65"/>
        <v>-701.48</v>
      </c>
    </row>
    <row r="1387" spans="1:8" x14ac:dyDescent="0.25">
      <c r="A1387" s="1">
        <v>45526</v>
      </c>
      <c r="B1387" t="s">
        <v>1402</v>
      </c>
      <c r="C1387" t="s">
        <v>22</v>
      </c>
      <c r="D1387">
        <v>1216.6600000000001</v>
      </c>
      <c r="E1387" t="s">
        <v>7</v>
      </c>
      <c r="F1387" s="2" t="str">
        <f t="shared" si="63"/>
        <v>Aug</v>
      </c>
      <c r="G1387" s="2">
        <f t="shared" si="64"/>
        <v>2024</v>
      </c>
      <c r="H1387" s="2">
        <f t="shared" si="65"/>
        <v>-1216.6600000000001</v>
      </c>
    </row>
    <row r="1388" spans="1:8" x14ac:dyDescent="0.25">
      <c r="A1388" s="1">
        <v>45527</v>
      </c>
      <c r="B1388" t="s">
        <v>1403</v>
      </c>
      <c r="C1388" t="s">
        <v>20</v>
      </c>
      <c r="D1388">
        <v>538</v>
      </c>
      <c r="E1388" t="s">
        <v>14</v>
      </c>
      <c r="F1388" s="2" t="str">
        <f t="shared" si="63"/>
        <v>Aug</v>
      </c>
      <c r="G1388" s="2">
        <f t="shared" si="64"/>
        <v>2024</v>
      </c>
      <c r="H1388" s="2">
        <f t="shared" si="65"/>
        <v>538</v>
      </c>
    </row>
    <row r="1389" spans="1:8" x14ac:dyDescent="0.25">
      <c r="A1389" s="1">
        <v>45529</v>
      </c>
      <c r="B1389" t="s">
        <v>1404</v>
      </c>
      <c r="C1389" t="s">
        <v>17</v>
      </c>
      <c r="D1389">
        <v>1017.41</v>
      </c>
      <c r="E1389" t="s">
        <v>7</v>
      </c>
      <c r="F1389" s="2" t="str">
        <f t="shared" si="63"/>
        <v>Aug</v>
      </c>
      <c r="G1389" s="2">
        <f t="shared" si="64"/>
        <v>2024</v>
      </c>
      <c r="H1389" s="2">
        <f t="shared" si="65"/>
        <v>-1017.41</v>
      </c>
    </row>
    <row r="1390" spans="1:8" x14ac:dyDescent="0.25">
      <c r="A1390" s="1">
        <v>45529</v>
      </c>
      <c r="B1390" t="s">
        <v>1405</v>
      </c>
      <c r="C1390" t="s">
        <v>35</v>
      </c>
      <c r="D1390">
        <v>686.53</v>
      </c>
      <c r="E1390" t="s">
        <v>7</v>
      </c>
      <c r="F1390" s="2" t="str">
        <f t="shared" si="63"/>
        <v>Aug</v>
      </c>
      <c r="G1390" s="2">
        <f t="shared" si="64"/>
        <v>2024</v>
      </c>
      <c r="H1390" s="2">
        <f t="shared" si="65"/>
        <v>-686.53</v>
      </c>
    </row>
    <row r="1391" spans="1:8" x14ac:dyDescent="0.25">
      <c r="A1391" s="1">
        <v>45529</v>
      </c>
      <c r="B1391" t="s">
        <v>1406</v>
      </c>
      <c r="C1391" t="s">
        <v>20</v>
      </c>
      <c r="D1391">
        <v>4906</v>
      </c>
      <c r="E1391" t="s">
        <v>14</v>
      </c>
      <c r="F1391" s="2" t="str">
        <f t="shared" si="63"/>
        <v>Aug</v>
      </c>
      <c r="G1391" s="2">
        <f t="shared" si="64"/>
        <v>2024</v>
      </c>
      <c r="H1391" s="2">
        <f t="shared" si="65"/>
        <v>4906</v>
      </c>
    </row>
    <row r="1392" spans="1:8" x14ac:dyDescent="0.25">
      <c r="A1392" s="1">
        <v>45531</v>
      </c>
      <c r="B1392" t="s">
        <v>1407</v>
      </c>
      <c r="C1392" t="s">
        <v>35</v>
      </c>
      <c r="D1392">
        <v>1391.44</v>
      </c>
      <c r="E1392" t="s">
        <v>7</v>
      </c>
      <c r="F1392" s="2" t="str">
        <f t="shared" si="63"/>
        <v>Aug</v>
      </c>
      <c r="G1392" s="2">
        <f t="shared" si="64"/>
        <v>2024</v>
      </c>
      <c r="H1392" s="2">
        <f t="shared" si="65"/>
        <v>-1391.44</v>
      </c>
    </row>
    <row r="1393" spans="1:8" x14ac:dyDescent="0.25">
      <c r="A1393" s="1">
        <v>45531</v>
      </c>
      <c r="B1393" t="s">
        <v>1408</v>
      </c>
      <c r="C1393" t="s">
        <v>27</v>
      </c>
      <c r="D1393">
        <v>1542.23</v>
      </c>
      <c r="E1393" t="s">
        <v>7</v>
      </c>
      <c r="F1393" s="2" t="str">
        <f t="shared" si="63"/>
        <v>Aug</v>
      </c>
      <c r="G1393" s="2">
        <f t="shared" si="64"/>
        <v>2024</v>
      </c>
      <c r="H1393" s="2">
        <f t="shared" si="65"/>
        <v>-1542.23</v>
      </c>
    </row>
    <row r="1394" spans="1:8" x14ac:dyDescent="0.25">
      <c r="A1394" s="1">
        <v>45532</v>
      </c>
      <c r="B1394" t="s">
        <v>1409</v>
      </c>
      <c r="C1394" t="s">
        <v>27</v>
      </c>
      <c r="D1394">
        <v>1366.37</v>
      </c>
      <c r="E1394" t="s">
        <v>7</v>
      </c>
      <c r="F1394" s="2" t="str">
        <f t="shared" si="63"/>
        <v>Aug</v>
      </c>
      <c r="G1394" s="2">
        <f t="shared" si="64"/>
        <v>2024</v>
      </c>
      <c r="H1394" s="2">
        <f t="shared" si="65"/>
        <v>-1366.37</v>
      </c>
    </row>
    <row r="1395" spans="1:8" x14ac:dyDescent="0.25">
      <c r="A1395" s="1">
        <v>45532</v>
      </c>
      <c r="B1395" t="s">
        <v>1410</v>
      </c>
      <c r="C1395" t="s">
        <v>6</v>
      </c>
      <c r="D1395">
        <v>969.12</v>
      </c>
      <c r="E1395" t="s">
        <v>7</v>
      </c>
      <c r="F1395" s="2" t="str">
        <f t="shared" si="63"/>
        <v>Aug</v>
      </c>
      <c r="G1395" s="2">
        <f t="shared" si="64"/>
        <v>2024</v>
      </c>
      <c r="H1395" s="2">
        <f t="shared" si="65"/>
        <v>-969.12</v>
      </c>
    </row>
    <row r="1396" spans="1:8" x14ac:dyDescent="0.25">
      <c r="A1396" s="1">
        <v>45532</v>
      </c>
      <c r="B1396" t="s">
        <v>1411</v>
      </c>
      <c r="C1396" t="s">
        <v>17</v>
      </c>
      <c r="D1396">
        <v>1270.99</v>
      </c>
      <c r="E1396" t="s">
        <v>7</v>
      </c>
      <c r="F1396" s="2" t="str">
        <f t="shared" si="63"/>
        <v>Aug</v>
      </c>
      <c r="G1396" s="2">
        <f t="shared" si="64"/>
        <v>2024</v>
      </c>
      <c r="H1396" s="2">
        <f t="shared" si="65"/>
        <v>-1270.99</v>
      </c>
    </row>
    <row r="1397" spans="1:8" x14ac:dyDescent="0.25">
      <c r="A1397" s="1">
        <v>45534</v>
      </c>
      <c r="B1397" t="s">
        <v>1412</v>
      </c>
      <c r="C1397" t="s">
        <v>22</v>
      </c>
      <c r="D1397">
        <v>1602.32</v>
      </c>
      <c r="E1397" t="s">
        <v>7</v>
      </c>
      <c r="F1397" s="2" t="str">
        <f t="shared" si="63"/>
        <v>Aug</v>
      </c>
      <c r="G1397" s="2">
        <f t="shared" si="64"/>
        <v>2024</v>
      </c>
      <c r="H1397" s="2">
        <f t="shared" si="65"/>
        <v>-1602.32</v>
      </c>
    </row>
    <row r="1398" spans="1:8" x14ac:dyDescent="0.25">
      <c r="A1398" s="1">
        <v>45536</v>
      </c>
      <c r="B1398" t="s">
        <v>1413</v>
      </c>
      <c r="C1398" t="s">
        <v>25</v>
      </c>
      <c r="D1398">
        <v>1037.8399999999999</v>
      </c>
      <c r="E1398" t="s">
        <v>7</v>
      </c>
      <c r="F1398" s="2" t="str">
        <f t="shared" si="63"/>
        <v>Sep</v>
      </c>
      <c r="G1398" s="2">
        <f t="shared" si="64"/>
        <v>2024</v>
      </c>
      <c r="H1398" s="2">
        <f t="shared" si="65"/>
        <v>-1037.8399999999999</v>
      </c>
    </row>
    <row r="1399" spans="1:8" x14ac:dyDescent="0.25">
      <c r="A1399" s="1">
        <v>45537</v>
      </c>
      <c r="B1399" t="s">
        <v>1414</v>
      </c>
      <c r="C1399" t="s">
        <v>20</v>
      </c>
      <c r="D1399">
        <v>2533</v>
      </c>
      <c r="E1399" t="s">
        <v>14</v>
      </c>
      <c r="F1399" s="2" t="str">
        <f t="shared" si="63"/>
        <v>Sep</v>
      </c>
      <c r="G1399" s="2">
        <f t="shared" si="64"/>
        <v>2024</v>
      </c>
      <c r="H1399" s="2">
        <f t="shared" si="65"/>
        <v>2533</v>
      </c>
    </row>
    <row r="1400" spans="1:8" x14ac:dyDescent="0.25">
      <c r="A1400" s="1">
        <v>45540</v>
      </c>
      <c r="B1400" t="s">
        <v>1415</v>
      </c>
      <c r="C1400" t="s">
        <v>17</v>
      </c>
      <c r="D1400">
        <v>1350.66</v>
      </c>
      <c r="E1400" t="s">
        <v>7</v>
      </c>
      <c r="F1400" s="2" t="str">
        <f t="shared" si="63"/>
        <v>Sep</v>
      </c>
      <c r="G1400" s="2">
        <f t="shared" si="64"/>
        <v>2024</v>
      </c>
      <c r="H1400" s="2">
        <f t="shared" si="65"/>
        <v>-1350.66</v>
      </c>
    </row>
    <row r="1401" spans="1:8" x14ac:dyDescent="0.25">
      <c r="A1401" s="1">
        <v>45540</v>
      </c>
      <c r="B1401" t="s">
        <v>1416</v>
      </c>
      <c r="C1401" t="s">
        <v>11</v>
      </c>
      <c r="D1401">
        <v>1113.56</v>
      </c>
      <c r="E1401" t="s">
        <v>7</v>
      </c>
      <c r="F1401" s="2" t="str">
        <f t="shared" si="63"/>
        <v>Sep</v>
      </c>
      <c r="G1401" s="2">
        <f t="shared" si="64"/>
        <v>2024</v>
      </c>
      <c r="H1401" s="2">
        <f t="shared" si="65"/>
        <v>-1113.56</v>
      </c>
    </row>
    <row r="1402" spans="1:8" x14ac:dyDescent="0.25">
      <c r="A1402" s="1">
        <v>45540</v>
      </c>
      <c r="B1402" t="s">
        <v>1417</v>
      </c>
      <c r="C1402" t="s">
        <v>20</v>
      </c>
      <c r="D1402">
        <v>3396</v>
      </c>
      <c r="E1402" t="s">
        <v>14</v>
      </c>
      <c r="F1402" s="2" t="str">
        <f t="shared" si="63"/>
        <v>Sep</v>
      </c>
      <c r="G1402" s="2">
        <f t="shared" si="64"/>
        <v>2024</v>
      </c>
      <c r="H1402" s="2">
        <f t="shared" si="65"/>
        <v>3396</v>
      </c>
    </row>
    <row r="1403" spans="1:8" x14ac:dyDescent="0.25">
      <c r="A1403" s="1">
        <v>45540</v>
      </c>
      <c r="B1403" t="s">
        <v>1418</v>
      </c>
      <c r="C1403" t="s">
        <v>35</v>
      </c>
      <c r="D1403">
        <v>373.74</v>
      </c>
      <c r="E1403" t="s">
        <v>7</v>
      </c>
      <c r="F1403" s="2" t="str">
        <f t="shared" si="63"/>
        <v>Sep</v>
      </c>
      <c r="G1403" s="2">
        <f t="shared" si="64"/>
        <v>2024</v>
      </c>
      <c r="H1403" s="2">
        <f t="shared" si="65"/>
        <v>-373.74</v>
      </c>
    </row>
    <row r="1404" spans="1:8" x14ac:dyDescent="0.25">
      <c r="A1404" s="1">
        <v>45541</v>
      </c>
      <c r="B1404" t="s">
        <v>1419</v>
      </c>
      <c r="C1404" t="s">
        <v>22</v>
      </c>
      <c r="D1404">
        <v>1003.01</v>
      </c>
      <c r="E1404" t="s">
        <v>7</v>
      </c>
      <c r="F1404" s="2" t="str">
        <f t="shared" si="63"/>
        <v>Sep</v>
      </c>
      <c r="G1404" s="2">
        <f t="shared" si="64"/>
        <v>2024</v>
      </c>
      <c r="H1404" s="2">
        <f t="shared" si="65"/>
        <v>-1003.01</v>
      </c>
    </row>
    <row r="1405" spans="1:8" x14ac:dyDescent="0.25">
      <c r="A1405" s="1">
        <v>45542</v>
      </c>
      <c r="B1405" t="s">
        <v>1420</v>
      </c>
      <c r="C1405" t="s">
        <v>13</v>
      </c>
      <c r="D1405">
        <v>2674</v>
      </c>
      <c r="E1405" t="s">
        <v>14</v>
      </c>
      <c r="F1405" s="2" t="str">
        <f t="shared" si="63"/>
        <v>Sep</v>
      </c>
      <c r="G1405" s="2">
        <f t="shared" si="64"/>
        <v>2024</v>
      </c>
      <c r="H1405" s="2">
        <f t="shared" si="65"/>
        <v>2674</v>
      </c>
    </row>
    <row r="1406" spans="1:8" x14ac:dyDescent="0.25">
      <c r="A1406" s="1">
        <v>45543</v>
      </c>
      <c r="B1406" t="s">
        <v>1421</v>
      </c>
      <c r="C1406" t="s">
        <v>22</v>
      </c>
      <c r="D1406">
        <v>1671.53</v>
      </c>
      <c r="E1406" t="s">
        <v>7</v>
      </c>
      <c r="F1406" s="2" t="str">
        <f t="shared" si="63"/>
        <v>Sep</v>
      </c>
      <c r="G1406" s="2">
        <f t="shared" si="64"/>
        <v>2024</v>
      </c>
      <c r="H1406" s="2">
        <f t="shared" si="65"/>
        <v>-1671.53</v>
      </c>
    </row>
    <row r="1407" spans="1:8" x14ac:dyDescent="0.25">
      <c r="A1407" s="1">
        <v>45545</v>
      </c>
      <c r="B1407" t="s">
        <v>1422</v>
      </c>
      <c r="C1407" t="s">
        <v>25</v>
      </c>
      <c r="D1407">
        <v>320.43</v>
      </c>
      <c r="E1407" t="s">
        <v>7</v>
      </c>
      <c r="F1407" s="2" t="str">
        <f t="shared" si="63"/>
        <v>Sep</v>
      </c>
      <c r="G1407" s="2">
        <f t="shared" si="64"/>
        <v>2024</v>
      </c>
      <c r="H1407" s="2">
        <f t="shared" si="65"/>
        <v>-320.43</v>
      </c>
    </row>
    <row r="1408" spans="1:8" x14ac:dyDescent="0.25">
      <c r="A1408" s="1">
        <v>45548</v>
      </c>
      <c r="B1408" t="s">
        <v>1423</v>
      </c>
      <c r="C1408" t="s">
        <v>13</v>
      </c>
      <c r="D1408">
        <v>4535</v>
      </c>
      <c r="E1408" t="s">
        <v>14</v>
      </c>
      <c r="F1408" s="2" t="str">
        <f t="shared" si="63"/>
        <v>Sep</v>
      </c>
      <c r="G1408" s="2">
        <f t="shared" si="64"/>
        <v>2024</v>
      </c>
      <c r="H1408" s="2">
        <f t="shared" si="65"/>
        <v>4535</v>
      </c>
    </row>
    <row r="1409" spans="1:8" x14ac:dyDescent="0.25">
      <c r="A1409" s="1">
        <v>45550</v>
      </c>
      <c r="B1409" t="s">
        <v>1424</v>
      </c>
      <c r="C1409" t="s">
        <v>6</v>
      </c>
      <c r="D1409">
        <v>1697.54</v>
      </c>
      <c r="E1409" t="s">
        <v>7</v>
      </c>
      <c r="F1409" s="2" t="str">
        <f t="shared" si="63"/>
        <v>Sep</v>
      </c>
      <c r="G1409" s="2">
        <f t="shared" si="64"/>
        <v>2024</v>
      </c>
      <c r="H1409" s="2">
        <f t="shared" si="65"/>
        <v>-1697.54</v>
      </c>
    </row>
    <row r="1410" spans="1:8" x14ac:dyDescent="0.25">
      <c r="A1410" s="1">
        <v>45551</v>
      </c>
      <c r="B1410" t="s">
        <v>1425</v>
      </c>
      <c r="C1410" t="s">
        <v>25</v>
      </c>
      <c r="D1410">
        <v>989.76</v>
      </c>
      <c r="E1410" t="s">
        <v>7</v>
      </c>
      <c r="F1410" s="2" t="str">
        <f t="shared" ref="F1410:F1473" si="66">TEXT(A1410,"mmm")</f>
        <v>Sep</v>
      </c>
      <c r="G1410" s="2">
        <f t="shared" ref="G1410:G1473" si="67">YEAR(A1410)</f>
        <v>2024</v>
      </c>
      <c r="H1410" s="2">
        <f t="shared" ref="H1410:H1473" si="68">IF(E1410="Income",D1410,-D1410)</f>
        <v>-989.76</v>
      </c>
    </row>
    <row r="1411" spans="1:8" x14ac:dyDescent="0.25">
      <c r="A1411" s="1">
        <v>45552</v>
      </c>
      <c r="B1411" t="s">
        <v>1426</v>
      </c>
      <c r="C1411" t="s">
        <v>35</v>
      </c>
      <c r="D1411">
        <v>986.7</v>
      </c>
      <c r="E1411" t="s">
        <v>7</v>
      </c>
      <c r="F1411" s="2" t="str">
        <f t="shared" si="66"/>
        <v>Sep</v>
      </c>
      <c r="G1411" s="2">
        <f t="shared" si="67"/>
        <v>2024</v>
      </c>
      <c r="H1411" s="2">
        <f t="shared" si="68"/>
        <v>-986.7</v>
      </c>
    </row>
    <row r="1412" spans="1:8" x14ac:dyDescent="0.25">
      <c r="A1412" s="1">
        <v>45552</v>
      </c>
      <c r="B1412" t="s">
        <v>1427</v>
      </c>
      <c r="C1412" t="s">
        <v>35</v>
      </c>
      <c r="D1412">
        <v>801.78</v>
      </c>
      <c r="E1412" t="s">
        <v>7</v>
      </c>
      <c r="F1412" s="2" t="str">
        <f t="shared" si="66"/>
        <v>Sep</v>
      </c>
      <c r="G1412" s="2">
        <f t="shared" si="67"/>
        <v>2024</v>
      </c>
      <c r="H1412" s="2">
        <f t="shared" si="68"/>
        <v>-801.78</v>
      </c>
    </row>
    <row r="1413" spans="1:8" x14ac:dyDescent="0.25">
      <c r="A1413" s="1">
        <v>45552</v>
      </c>
      <c r="B1413" t="s">
        <v>1428</v>
      </c>
      <c r="C1413" t="s">
        <v>9</v>
      </c>
      <c r="D1413">
        <v>117.75</v>
      </c>
      <c r="E1413" t="s">
        <v>7</v>
      </c>
      <c r="F1413" s="2" t="str">
        <f t="shared" si="66"/>
        <v>Sep</v>
      </c>
      <c r="G1413" s="2">
        <f t="shared" si="67"/>
        <v>2024</v>
      </c>
      <c r="H1413" s="2">
        <f t="shared" si="68"/>
        <v>-117.75</v>
      </c>
    </row>
    <row r="1414" spans="1:8" x14ac:dyDescent="0.25">
      <c r="A1414" s="1">
        <v>45553</v>
      </c>
      <c r="B1414" t="s">
        <v>1429</v>
      </c>
      <c r="C1414" t="s">
        <v>27</v>
      </c>
      <c r="D1414">
        <v>1879.91</v>
      </c>
      <c r="E1414" t="s">
        <v>7</v>
      </c>
      <c r="F1414" s="2" t="str">
        <f t="shared" si="66"/>
        <v>Sep</v>
      </c>
      <c r="G1414" s="2">
        <f t="shared" si="67"/>
        <v>2024</v>
      </c>
      <c r="H1414" s="2">
        <f t="shared" si="68"/>
        <v>-1879.91</v>
      </c>
    </row>
    <row r="1415" spans="1:8" x14ac:dyDescent="0.25">
      <c r="A1415" s="1">
        <v>45556</v>
      </c>
      <c r="B1415" t="s">
        <v>1430</v>
      </c>
      <c r="C1415" t="s">
        <v>20</v>
      </c>
      <c r="D1415">
        <v>3725</v>
      </c>
      <c r="E1415" t="s">
        <v>14</v>
      </c>
      <c r="F1415" s="2" t="str">
        <f t="shared" si="66"/>
        <v>Sep</v>
      </c>
      <c r="G1415" s="2">
        <f t="shared" si="67"/>
        <v>2024</v>
      </c>
      <c r="H1415" s="2">
        <f t="shared" si="68"/>
        <v>3725</v>
      </c>
    </row>
    <row r="1416" spans="1:8" x14ac:dyDescent="0.25">
      <c r="A1416" s="1">
        <v>45557</v>
      </c>
      <c r="B1416" t="s">
        <v>1431</v>
      </c>
      <c r="C1416" t="s">
        <v>9</v>
      </c>
      <c r="D1416">
        <v>919.82</v>
      </c>
      <c r="E1416" t="s">
        <v>7</v>
      </c>
      <c r="F1416" s="2" t="str">
        <f t="shared" si="66"/>
        <v>Sep</v>
      </c>
      <c r="G1416" s="2">
        <f t="shared" si="67"/>
        <v>2024</v>
      </c>
      <c r="H1416" s="2">
        <f t="shared" si="68"/>
        <v>-919.82</v>
      </c>
    </row>
    <row r="1417" spans="1:8" x14ac:dyDescent="0.25">
      <c r="A1417" s="1">
        <v>45558</v>
      </c>
      <c r="B1417" t="s">
        <v>1432</v>
      </c>
      <c r="C1417" t="s">
        <v>20</v>
      </c>
      <c r="D1417">
        <v>3085</v>
      </c>
      <c r="E1417" t="s">
        <v>14</v>
      </c>
      <c r="F1417" s="2" t="str">
        <f t="shared" si="66"/>
        <v>Sep</v>
      </c>
      <c r="G1417" s="2">
        <f t="shared" si="67"/>
        <v>2024</v>
      </c>
      <c r="H1417" s="2">
        <f t="shared" si="68"/>
        <v>3085</v>
      </c>
    </row>
    <row r="1418" spans="1:8" x14ac:dyDescent="0.25">
      <c r="A1418" s="1">
        <v>45559</v>
      </c>
      <c r="B1418" t="s">
        <v>1433</v>
      </c>
      <c r="C1418" t="s">
        <v>6</v>
      </c>
      <c r="D1418">
        <v>1351.47</v>
      </c>
      <c r="E1418" t="s">
        <v>7</v>
      </c>
      <c r="F1418" s="2" t="str">
        <f t="shared" si="66"/>
        <v>Sep</v>
      </c>
      <c r="G1418" s="2">
        <f t="shared" si="67"/>
        <v>2024</v>
      </c>
      <c r="H1418" s="2">
        <f t="shared" si="68"/>
        <v>-1351.47</v>
      </c>
    </row>
    <row r="1419" spans="1:8" x14ac:dyDescent="0.25">
      <c r="A1419" s="1">
        <v>45560</v>
      </c>
      <c r="B1419" t="s">
        <v>1434</v>
      </c>
      <c r="C1419" t="s">
        <v>11</v>
      </c>
      <c r="D1419">
        <v>657.62</v>
      </c>
      <c r="E1419" t="s">
        <v>7</v>
      </c>
      <c r="F1419" s="2" t="str">
        <f t="shared" si="66"/>
        <v>Sep</v>
      </c>
      <c r="G1419" s="2">
        <f t="shared" si="67"/>
        <v>2024</v>
      </c>
      <c r="H1419" s="2">
        <f t="shared" si="68"/>
        <v>-657.62</v>
      </c>
    </row>
    <row r="1420" spans="1:8" x14ac:dyDescent="0.25">
      <c r="A1420" s="1">
        <v>45561</v>
      </c>
      <c r="B1420" t="s">
        <v>1435</v>
      </c>
      <c r="C1420" t="s">
        <v>35</v>
      </c>
      <c r="D1420">
        <v>382.43</v>
      </c>
      <c r="E1420" t="s">
        <v>7</v>
      </c>
      <c r="F1420" s="2" t="str">
        <f t="shared" si="66"/>
        <v>Sep</v>
      </c>
      <c r="G1420" s="2">
        <f t="shared" si="67"/>
        <v>2024</v>
      </c>
      <c r="H1420" s="2">
        <f t="shared" si="68"/>
        <v>-382.43</v>
      </c>
    </row>
    <row r="1421" spans="1:8" x14ac:dyDescent="0.25">
      <c r="A1421" s="1">
        <v>45561</v>
      </c>
      <c r="B1421" t="s">
        <v>1436</v>
      </c>
      <c r="C1421" t="s">
        <v>35</v>
      </c>
      <c r="D1421">
        <v>947.98</v>
      </c>
      <c r="E1421" t="s">
        <v>7</v>
      </c>
      <c r="F1421" s="2" t="str">
        <f t="shared" si="66"/>
        <v>Sep</v>
      </c>
      <c r="G1421" s="2">
        <f t="shared" si="67"/>
        <v>2024</v>
      </c>
      <c r="H1421" s="2">
        <f t="shared" si="68"/>
        <v>-947.98</v>
      </c>
    </row>
    <row r="1422" spans="1:8" x14ac:dyDescent="0.25">
      <c r="A1422" s="1">
        <v>45562</v>
      </c>
      <c r="B1422" t="s">
        <v>1437</v>
      </c>
      <c r="C1422" t="s">
        <v>25</v>
      </c>
      <c r="D1422">
        <v>375.99</v>
      </c>
      <c r="E1422" t="s">
        <v>7</v>
      </c>
      <c r="F1422" s="2" t="str">
        <f t="shared" si="66"/>
        <v>Sep</v>
      </c>
      <c r="G1422" s="2">
        <f t="shared" si="67"/>
        <v>2024</v>
      </c>
      <c r="H1422" s="2">
        <f t="shared" si="68"/>
        <v>-375.99</v>
      </c>
    </row>
    <row r="1423" spans="1:8" x14ac:dyDescent="0.25">
      <c r="A1423" s="1">
        <v>45562</v>
      </c>
      <c r="B1423" t="s">
        <v>1438</v>
      </c>
      <c r="C1423" t="s">
        <v>17</v>
      </c>
      <c r="D1423">
        <v>1404.42</v>
      </c>
      <c r="E1423" t="s">
        <v>7</v>
      </c>
      <c r="F1423" s="2" t="str">
        <f t="shared" si="66"/>
        <v>Sep</v>
      </c>
      <c r="G1423" s="2">
        <f t="shared" si="67"/>
        <v>2024</v>
      </c>
      <c r="H1423" s="2">
        <f t="shared" si="68"/>
        <v>-1404.42</v>
      </c>
    </row>
    <row r="1424" spans="1:8" x14ac:dyDescent="0.25">
      <c r="A1424" s="1">
        <v>45566</v>
      </c>
      <c r="B1424" t="s">
        <v>1439</v>
      </c>
      <c r="C1424" t="s">
        <v>17</v>
      </c>
      <c r="D1424">
        <v>566.46</v>
      </c>
      <c r="E1424" t="s">
        <v>7</v>
      </c>
      <c r="F1424" s="2" t="str">
        <f t="shared" si="66"/>
        <v>Oct</v>
      </c>
      <c r="G1424" s="2">
        <f t="shared" si="67"/>
        <v>2024</v>
      </c>
      <c r="H1424" s="2">
        <f t="shared" si="68"/>
        <v>-566.46</v>
      </c>
    </row>
    <row r="1425" spans="1:8" x14ac:dyDescent="0.25">
      <c r="A1425" s="1">
        <v>45566</v>
      </c>
      <c r="B1425" t="s">
        <v>1440</v>
      </c>
      <c r="C1425" t="s">
        <v>13</v>
      </c>
      <c r="D1425">
        <v>2372</v>
      </c>
      <c r="E1425" t="s">
        <v>14</v>
      </c>
      <c r="F1425" s="2" t="str">
        <f t="shared" si="66"/>
        <v>Oct</v>
      </c>
      <c r="G1425" s="2">
        <f t="shared" si="67"/>
        <v>2024</v>
      </c>
      <c r="H1425" s="2">
        <f t="shared" si="68"/>
        <v>2372</v>
      </c>
    </row>
    <row r="1426" spans="1:8" x14ac:dyDescent="0.25">
      <c r="A1426" s="1">
        <v>45567</v>
      </c>
      <c r="B1426" t="s">
        <v>1441</v>
      </c>
      <c r="C1426" t="s">
        <v>35</v>
      </c>
      <c r="D1426">
        <v>1610.13</v>
      </c>
      <c r="E1426" t="s">
        <v>7</v>
      </c>
      <c r="F1426" s="2" t="str">
        <f t="shared" si="66"/>
        <v>Oct</v>
      </c>
      <c r="G1426" s="2">
        <f t="shared" si="67"/>
        <v>2024</v>
      </c>
      <c r="H1426" s="2">
        <f t="shared" si="68"/>
        <v>-1610.13</v>
      </c>
    </row>
    <row r="1427" spans="1:8" x14ac:dyDescent="0.25">
      <c r="A1427" s="1">
        <v>45567</v>
      </c>
      <c r="B1427" t="s">
        <v>1442</v>
      </c>
      <c r="C1427" t="s">
        <v>17</v>
      </c>
      <c r="D1427">
        <v>400.17</v>
      </c>
      <c r="E1427" t="s">
        <v>7</v>
      </c>
      <c r="F1427" s="2" t="str">
        <f t="shared" si="66"/>
        <v>Oct</v>
      </c>
      <c r="G1427" s="2">
        <f t="shared" si="67"/>
        <v>2024</v>
      </c>
      <c r="H1427" s="2">
        <f t="shared" si="68"/>
        <v>-400.17</v>
      </c>
    </row>
    <row r="1428" spans="1:8" x14ac:dyDescent="0.25">
      <c r="A1428" s="1">
        <v>45568</v>
      </c>
      <c r="B1428" t="s">
        <v>1443</v>
      </c>
      <c r="C1428" t="s">
        <v>9</v>
      </c>
      <c r="D1428">
        <v>951.24</v>
      </c>
      <c r="E1428" t="s">
        <v>7</v>
      </c>
      <c r="F1428" s="2" t="str">
        <f t="shared" si="66"/>
        <v>Oct</v>
      </c>
      <c r="G1428" s="2">
        <f t="shared" si="67"/>
        <v>2024</v>
      </c>
      <c r="H1428" s="2">
        <f t="shared" si="68"/>
        <v>-951.24</v>
      </c>
    </row>
    <row r="1429" spans="1:8" x14ac:dyDescent="0.25">
      <c r="A1429" s="1">
        <v>45569</v>
      </c>
      <c r="B1429" t="s">
        <v>1444</v>
      </c>
      <c r="C1429" t="s">
        <v>20</v>
      </c>
      <c r="D1429">
        <v>4592</v>
      </c>
      <c r="E1429" t="s">
        <v>14</v>
      </c>
      <c r="F1429" s="2" t="str">
        <f t="shared" si="66"/>
        <v>Oct</v>
      </c>
      <c r="G1429" s="2">
        <f t="shared" si="67"/>
        <v>2024</v>
      </c>
      <c r="H1429" s="2">
        <f t="shared" si="68"/>
        <v>4592</v>
      </c>
    </row>
    <row r="1430" spans="1:8" x14ac:dyDescent="0.25">
      <c r="A1430" s="1">
        <v>45569</v>
      </c>
      <c r="B1430" t="s">
        <v>1445</v>
      </c>
      <c r="C1430" t="s">
        <v>20</v>
      </c>
      <c r="D1430">
        <v>4486</v>
      </c>
      <c r="E1430" t="s">
        <v>14</v>
      </c>
      <c r="F1430" s="2" t="str">
        <f t="shared" si="66"/>
        <v>Oct</v>
      </c>
      <c r="G1430" s="2">
        <f t="shared" si="67"/>
        <v>2024</v>
      </c>
      <c r="H1430" s="2">
        <f t="shared" si="68"/>
        <v>4486</v>
      </c>
    </row>
    <row r="1431" spans="1:8" x14ac:dyDescent="0.25">
      <c r="A1431" s="1">
        <v>45572</v>
      </c>
      <c r="B1431" t="s">
        <v>1446</v>
      </c>
      <c r="C1431" t="s">
        <v>6</v>
      </c>
      <c r="D1431">
        <v>802.82</v>
      </c>
      <c r="E1431" t="s">
        <v>7</v>
      </c>
      <c r="F1431" s="2" t="str">
        <f t="shared" si="66"/>
        <v>Oct</v>
      </c>
      <c r="G1431" s="2">
        <f t="shared" si="67"/>
        <v>2024</v>
      </c>
      <c r="H1431" s="2">
        <f t="shared" si="68"/>
        <v>-802.82</v>
      </c>
    </row>
    <row r="1432" spans="1:8" x14ac:dyDescent="0.25">
      <c r="A1432" s="1">
        <v>45573</v>
      </c>
      <c r="B1432" t="s">
        <v>1447</v>
      </c>
      <c r="C1432" t="s">
        <v>6</v>
      </c>
      <c r="D1432">
        <v>438.78</v>
      </c>
      <c r="E1432" t="s">
        <v>7</v>
      </c>
      <c r="F1432" s="2" t="str">
        <f t="shared" si="66"/>
        <v>Oct</v>
      </c>
      <c r="G1432" s="2">
        <f t="shared" si="67"/>
        <v>2024</v>
      </c>
      <c r="H1432" s="2">
        <f t="shared" si="68"/>
        <v>-438.78</v>
      </c>
    </row>
    <row r="1433" spans="1:8" x14ac:dyDescent="0.25">
      <c r="A1433" s="1">
        <v>45574</v>
      </c>
      <c r="B1433" t="s">
        <v>1448</v>
      </c>
      <c r="C1433" t="s">
        <v>11</v>
      </c>
      <c r="D1433">
        <v>905.21</v>
      </c>
      <c r="E1433" t="s">
        <v>7</v>
      </c>
      <c r="F1433" s="2" t="str">
        <f t="shared" si="66"/>
        <v>Oct</v>
      </c>
      <c r="G1433" s="2">
        <f t="shared" si="67"/>
        <v>2024</v>
      </c>
      <c r="H1433" s="2">
        <f t="shared" si="68"/>
        <v>-905.21</v>
      </c>
    </row>
    <row r="1434" spans="1:8" x14ac:dyDescent="0.25">
      <c r="A1434" s="1">
        <v>45575</v>
      </c>
      <c r="B1434" t="s">
        <v>1449</v>
      </c>
      <c r="C1434" t="s">
        <v>25</v>
      </c>
      <c r="D1434">
        <v>727.01</v>
      </c>
      <c r="E1434" t="s">
        <v>7</v>
      </c>
      <c r="F1434" s="2" t="str">
        <f t="shared" si="66"/>
        <v>Oct</v>
      </c>
      <c r="G1434" s="2">
        <f t="shared" si="67"/>
        <v>2024</v>
      </c>
      <c r="H1434" s="2">
        <f t="shared" si="68"/>
        <v>-727.01</v>
      </c>
    </row>
    <row r="1435" spans="1:8" x14ac:dyDescent="0.25">
      <c r="A1435" s="1">
        <v>45575</v>
      </c>
      <c r="B1435" t="s">
        <v>1450</v>
      </c>
      <c r="C1435" t="s">
        <v>35</v>
      </c>
      <c r="D1435">
        <v>694.84</v>
      </c>
      <c r="E1435" t="s">
        <v>7</v>
      </c>
      <c r="F1435" s="2" t="str">
        <f t="shared" si="66"/>
        <v>Oct</v>
      </c>
      <c r="G1435" s="2">
        <f t="shared" si="67"/>
        <v>2024</v>
      </c>
      <c r="H1435" s="2">
        <f t="shared" si="68"/>
        <v>-694.84</v>
      </c>
    </row>
    <row r="1436" spans="1:8" x14ac:dyDescent="0.25">
      <c r="A1436" s="1">
        <v>45576</v>
      </c>
      <c r="B1436" t="s">
        <v>1451</v>
      </c>
      <c r="C1436" t="s">
        <v>25</v>
      </c>
      <c r="D1436">
        <v>1736.06</v>
      </c>
      <c r="E1436" t="s">
        <v>7</v>
      </c>
      <c r="F1436" s="2" t="str">
        <f t="shared" si="66"/>
        <v>Oct</v>
      </c>
      <c r="G1436" s="2">
        <f t="shared" si="67"/>
        <v>2024</v>
      </c>
      <c r="H1436" s="2">
        <f t="shared" si="68"/>
        <v>-1736.06</v>
      </c>
    </row>
    <row r="1437" spans="1:8" x14ac:dyDescent="0.25">
      <c r="A1437" s="1">
        <v>45577</v>
      </c>
      <c r="B1437" t="s">
        <v>1452</v>
      </c>
      <c r="C1437" t="s">
        <v>22</v>
      </c>
      <c r="D1437">
        <v>1157.94</v>
      </c>
      <c r="E1437" t="s">
        <v>7</v>
      </c>
      <c r="F1437" s="2" t="str">
        <f t="shared" si="66"/>
        <v>Oct</v>
      </c>
      <c r="G1437" s="2">
        <f t="shared" si="67"/>
        <v>2024</v>
      </c>
      <c r="H1437" s="2">
        <f t="shared" si="68"/>
        <v>-1157.94</v>
      </c>
    </row>
    <row r="1438" spans="1:8" x14ac:dyDescent="0.25">
      <c r="A1438" s="1">
        <v>45580</v>
      </c>
      <c r="B1438" t="s">
        <v>1453</v>
      </c>
      <c r="C1438" t="s">
        <v>9</v>
      </c>
      <c r="D1438">
        <v>1958.95</v>
      </c>
      <c r="E1438" t="s">
        <v>7</v>
      </c>
      <c r="F1438" s="2" t="str">
        <f t="shared" si="66"/>
        <v>Oct</v>
      </c>
      <c r="G1438" s="2">
        <f t="shared" si="67"/>
        <v>2024</v>
      </c>
      <c r="H1438" s="2">
        <f t="shared" si="68"/>
        <v>-1958.95</v>
      </c>
    </row>
    <row r="1439" spans="1:8" x14ac:dyDescent="0.25">
      <c r="A1439" s="1">
        <v>45582</v>
      </c>
      <c r="B1439" t="s">
        <v>1454</v>
      </c>
      <c r="C1439" t="s">
        <v>25</v>
      </c>
      <c r="D1439">
        <v>1349.65</v>
      </c>
      <c r="E1439" t="s">
        <v>7</v>
      </c>
      <c r="F1439" s="2" t="str">
        <f t="shared" si="66"/>
        <v>Oct</v>
      </c>
      <c r="G1439" s="2">
        <f t="shared" si="67"/>
        <v>2024</v>
      </c>
      <c r="H1439" s="2">
        <f t="shared" si="68"/>
        <v>-1349.65</v>
      </c>
    </row>
    <row r="1440" spans="1:8" x14ac:dyDescent="0.25">
      <c r="A1440" s="1">
        <v>45582</v>
      </c>
      <c r="B1440" t="s">
        <v>1455</v>
      </c>
      <c r="C1440" t="s">
        <v>27</v>
      </c>
      <c r="D1440">
        <v>1780.37</v>
      </c>
      <c r="E1440" t="s">
        <v>7</v>
      </c>
      <c r="F1440" s="2" t="str">
        <f t="shared" si="66"/>
        <v>Oct</v>
      </c>
      <c r="G1440" s="2">
        <f t="shared" si="67"/>
        <v>2024</v>
      </c>
      <c r="H1440" s="2">
        <f t="shared" si="68"/>
        <v>-1780.37</v>
      </c>
    </row>
    <row r="1441" spans="1:8" x14ac:dyDescent="0.25">
      <c r="A1441" s="1">
        <v>45583</v>
      </c>
      <c r="B1441" t="s">
        <v>1456</v>
      </c>
      <c r="C1441" t="s">
        <v>35</v>
      </c>
      <c r="D1441">
        <v>932.87</v>
      </c>
      <c r="E1441" t="s">
        <v>7</v>
      </c>
      <c r="F1441" s="2" t="str">
        <f t="shared" si="66"/>
        <v>Oct</v>
      </c>
      <c r="G1441" s="2">
        <f t="shared" si="67"/>
        <v>2024</v>
      </c>
      <c r="H1441" s="2">
        <f t="shared" si="68"/>
        <v>-932.87</v>
      </c>
    </row>
    <row r="1442" spans="1:8" x14ac:dyDescent="0.25">
      <c r="A1442" s="1">
        <v>45584</v>
      </c>
      <c r="B1442" t="s">
        <v>1457</v>
      </c>
      <c r="C1442" t="s">
        <v>9</v>
      </c>
      <c r="D1442">
        <v>1284.76</v>
      </c>
      <c r="E1442" t="s">
        <v>7</v>
      </c>
      <c r="F1442" s="2" t="str">
        <f t="shared" si="66"/>
        <v>Oct</v>
      </c>
      <c r="G1442" s="2">
        <f t="shared" si="67"/>
        <v>2024</v>
      </c>
      <c r="H1442" s="2">
        <f t="shared" si="68"/>
        <v>-1284.76</v>
      </c>
    </row>
    <row r="1443" spans="1:8" x14ac:dyDescent="0.25">
      <c r="A1443" s="1">
        <v>45584</v>
      </c>
      <c r="B1443" t="s">
        <v>1458</v>
      </c>
      <c r="C1443" t="s">
        <v>17</v>
      </c>
      <c r="D1443">
        <v>1266.23</v>
      </c>
      <c r="E1443" t="s">
        <v>7</v>
      </c>
      <c r="F1443" s="2" t="str">
        <f t="shared" si="66"/>
        <v>Oct</v>
      </c>
      <c r="G1443" s="2">
        <f t="shared" si="67"/>
        <v>2024</v>
      </c>
      <c r="H1443" s="2">
        <f t="shared" si="68"/>
        <v>-1266.23</v>
      </c>
    </row>
    <row r="1444" spans="1:8" x14ac:dyDescent="0.25">
      <c r="A1444" s="1">
        <v>45586</v>
      </c>
      <c r="B1444" t="s">
        <v>1459</v>
      </c>
      <c r="C1444" t="s">
        <v>11</v>
      </c>
      <c r="D1444">
        <v>167.43</v>
      </c>
      <c r="E1444" t="s">
        <v>7</v>
      </c>
      <c r="F1444" s="2" t="str">
        <f t="shared" si="66"/>
        <v>Oct</v>
      </c>
      <c r="G1444" s="2">
        <f t="shared" si="67"/>
        <v>2024</v>
      </c>
      <c r="H1444" s="2">
        <f t="shared" si="68"/>
        <v>-167.43</v>
      </c>
    </row>
    <row r="1445" spans="1:8" x14ac:dyDescent="0.25">
      <c r="A1445" s="1">
        <v>45586</v>
      </c>
      <c r="B1445" t="s">
        <v>1460</v>
      </c>
      <c r="C1445" t="s">
        <v>25</v>
      </c>
      <c r="D1445">
        <v>640.59</v>
      </c>
      <c r="E1445" t="s">
        <v>7</v>
      </c>
      <c r="F1445" s="2" t="str">
        <f t="shared" si="66"/>
        <v>Oct</v>
      </c>
      <c r="G1445" s="2">
        <f t="shared" si="67"/>
        <v>2024</v>
      </c>
      <c r="H1445" s="2">
        <f t="shared" si="68"/>
        <v>-640.59</v>
      </c>
    </row>
    <row r="1446" spans="1:8" x14ac:dyDescent="0.25">
      <c r="A1446" s="1">
        <v>45586</v>
      </c>
      <c r="B1446" t="s">
        <v>1461</v>
      </c>
      <c r="C1446" t="s">
        <v>35</v>
      </c>
      <c r="D1446">
        <v>1214.72</v>
      </c>
      <c r="E1446" t="s">
        <v>7</v>
      </c>
      <c r="F1446" s="2" t="str">
        <f t="shared" si="66"/>
        <v>Oct</v>
      </c>
      <c r="G1446" s="2">
        <f t="shared" si="67"/>
        <v>2024</v>
      </c>
      <c r="H1446" s="2">
        <f t="shared" si="68"/>
        <v>-1214.72</v>
      </c>
    </row>
    <row r="1447" spans="1:8" x14ac:dyDescent="0.25">
      <c r="A1447" s="1">
        <v>45588</v>
      </c>
      <c r="B1447" t="s">
        <v>1462</v>
      </c>
      <c r="C1447" t="s">
        <v>27</v>
      </c>
      <c r="D1447">
        <v>1564.14</v>
      </c>
      <c r="E1447" t="s">
        <v>7</v>
      </c>
      <c r="F1447" s="2" t="str">
        <f t="shared" si="66"/>
        <v>Oct</v>
      </c>
      <c r="G1447" s="2">
        <f t="shared" si="67"/>
        <v>2024</v>
      </c>
      <c r="H1447" s="2">
        <f t="shared" si="68"/>
        <v>-1564.14</v>
      </c>
    </row>
    <row r="1448" spans="1:8" x14ac:dyDescent="0.25">
      <c r="A1448" s="1">
        <v>45589</v>
      </c>
      <c r="B1448" t="s">
        <v>1463</v>
      </c>
      <c r="C1448" t="s">
        <v>27</v>
      </c>
      <c r="D1448">
        <v>833.84</v>
      </c>
      <c r="E1448" t="s">
        <v>7</v>
      </c>
      <c r="F1448" s="2" t="str">
        <f t="shared" si="66"/>
        <v>Oct</v>
      </c>
      <c r="G1448" s="2">
        <f t="shared" si="67"/>
        <v>2024</v>
      </c>
      <c r="H1448" s="2">
        <f t="shared" si="68"/>
        <v>-833.84</v>
      </c>
    </row>
    <row r="1449" spans="1:8" x14ac:dyDescent="0.25">
      <c r="A1449" s="1">
        <v>45593</v>
      </c>
      <c r="B1449" t="s">
        <v>1464</v>
      </c>
      <c r="C1449" t="s">
        <v>13</v>
      </c>
      <c r="D1449">
        <v>1524</v>
      </c>
      <c r="E1449" t="s">
        <v>14</v>
      </c>
      <c r="F1449" s="2" t="str">
        <f t="shared" si="66"/>
        <v>Oct</v>
      </c>
      <c r="G1449" s="2">
        <f t="shared" si="67"/>
        <v>2024</v>
      </c>
      <c r="H1449" s="2">
        <f t="shared" si="68"/>
        <v>1524</v>
      </c>
    </row>
    <row r="1450" spans="1:8" x14ac:dyDescent="0.25">
      <c r="A1450" s="1">
        <v>45597</v>
      </c>
      <c r="B1450" t="s">
        <v>1465</v>
      </c>
      <c r="C1450" t="s">
        <v>35</v>
      </c>
      <c r="D1450">
        <v>1881.47</v>
      </c>
      <c r="E1450" t="s">
        <v>7</v>
      </c>
      <c r="F1450" s="2" t="str">
        <f t="shared" si="66"/>
        <v>Nov</v>
      </c>
      <c r="G1450" s="2">
        <f t="shared" si="67"/>
        <v>2024</v>
      </c>
      <c r="H1450" s="2">
        <f t="shared" si="68"/>
        <v>-1881.47</v>
      </c>
    </row>
    <row r="1451" spans="1:8" x14ac:dyDescent="0.25">
      <c r="A1451" s="1">
        <v>45598</v>
      </c>
      <c r="B1451" t="s">
        <v>1466</v>
      </c>
      <c r="C1451" t="s">
        <v>11</v>
      </c>
      <c r="D1451">
        <v>429.04</v>
      </c>
      <c r="E1451" t="s">
        <v>7</v>
      </c>
      <c r="F1451" s="2" t="str">
        <f t="shared" si="66"/>
        <v>Nov</v>
      </c>
      <c r="G1451" s="2">
        <f t="shared" si="67"/>
        <v>2024</v>
      </c>
      <c r="H1451" s="2">
        <f t="shared" si="68"/>
        <v>-429.04</v>
      </c>
    </row>
    <row r="1452" spans="1:8" x14ac:dyDescent="0.25">
      <c r="A1452" s="1">
        <v>45599</v>
      </c>
      <c r="B1452" t="s">
        <v>1467</v>
      </c>
      <c r="C1452" t="s">
        <v>11</v>
      </c>
      <c r="D1452">
        <v>136.94999999999999</v>
      </c>
      <c r="E1452" t="s">
        <v>7</v>
      </c>
      <c r="F1452" s="2" t="str">
        <f t="shared" si="66"/>
        <v>Nov</v>
      </c>
      <c r="G1452" s="2">
        <f t="shared" si="67"/>
        <v>2024</v>
      </c>
      <c r="H1452" s="2">
        <f t="shared" si="68"/>
        <v>-136.94999999999999</v>
      </c>
    </row>
    <row r="1453" spans="1:8" x14ac:dyDescent="0.25">
      <c r="A1453" s="1">
        <v>45599</v>
      </c>
      <c r="B1453" t="s">
        <v>1468</v>
      </c>
      <c r="C1453" t="s">
        <v>6</v>
      </c>
      <c r="D1453">
        <v>62.47</v>
      </c>
      <c r="E1453" t="s">
        <v>7</v>
      </c>
      <c r="F1453" s="2" t="str">
        <f t="shared" si="66"/>
        <v>Nov</v>
      </c>
      <c r="G1453" s="2">
        <f t="shared" si="67"/>
        <v>2024</v>
      </c>
      <c r="H1453" s="2">
        <f t="shared" si="68"/>
        <v>-62.47</v>
      </c>
    </row>
    <row r="1454" spans="1:8" x14ac:dyDescent="0.25">
      <c r="A1454" s="1">
        <v>45607</v>
      </c>
      <c r="B1454" t="s">
        <v>1469</v>
      </c>
      <c r="C1454" t="s">
        <v>11</v>
      </c>
      <c r="D1454">
        <v>216.82</v>
      </c>
      <c r="E1454" t="s">
        <v>7</v>
      </c>
      <c r="F1454" s="2" t="str">
        <f t="shared" si="66"/>
        <v>Nov</v>
      </c>
      <c r="G1454" s="2">
        <f t="shared" si="67"/>
        <v>2024</v>
      </c>
      <c r="H1454" s="2">
        <f t="shared" si="68"/>
        <v>-216.82</v>
      </c>
    </row>
    <row r="1455" spans="1:8" x14ac:dyDescent="0.25">
      <c r="A1455" s="1">
        <v>45607</v>
      </c>
      <c r="B1455" t="s">
        <v>1470</v>
      </c>
      <c r="C1455" t="s">
        <v>11</v>
      </c>
      <c r="D1455">
        <v>1313.12</v>
      </c>
      <c r="E1455" t="s">
        <v>7</v>
      </c>
      <c r="F1455" s="2" t="str">
        <f t="shared" si="66"/>
        <v>Nov</v>
      </c>
      <c r="G1455" s="2">
        <f t="shared" si="67"/>
        <v>2024</v>
      </c>
      <c r="H1455" s="2">
        <f t="shared" si="68"/>
        <v>-1313.12</v>
      </c>
    </row>
    <row r="1456" spans="1:8" x14ac:dyDescent="0.25">
      <c r="A1456" s="1">
        <v>45608</v>
      </c>
      <c r="B1456" t="s">
        <v>1471</v>
      </c>
      <c r="C1456" t="s">
        <v>35</v>
      </c>
      <c r="D1456">
        <v>466.42</v>
      </c>
      <c r="E1456" t="s">
        <v>7</v>
      </c>
      <c r="F1456" s="2" t="str">
        <f t="shared" si="66"/>
        <v>Nov</v>
      </c>
      <c r="G1456" s="2">
        <f t="shared" si="67"/>
        <v>2024</v>
      </c>
      <c r="H1456" s="2">
        <f t="shared" si="68"/>
        <v>-466.42</v>
      </c>
    </row>
    <row r="1457" spans="1:8" x14ac:dyDescent="0.25">
      <c r="A1457" s="1">
        <v>45609</v>
      </c>
      <c r="B1457" t="s">
        <v>1472</v>
      </c>
      <c r="C1457" t="s">
        <v>27</v>
      </c>
      <c r="D1457">
        <v>1256.7</v>
      </c>
      <c r="E1457" t="s">
        <v>7</v>
      </c>
      <c r="F1457" s="2" t="str">
        <f t="shared" si="66"/>
        <v>Nov</v>
      </c>
      <c r="G1457" s="2">
        <f t="shared" si="67"/>
        <v>2024</v>
      </c>
      <c r="H1457" s="2">
        <f t="shared" si="68"/>
        <v>-1256.7</v>
      </c>
    </row>
    <row r="1458" spans="1:8" x14ac:dyDescent="0.25">
      <c r="A1458" s="1">
        <v>45609</v>
      </c>
      <c r="B1458" t="s">
        <v>1473</v>
      </c>
      <c r="C1458" t="s">
        <v>13</v>
      </c>
      <c r="D1458">
        <v>734</v>
      </c>
      <c r="E1458" t="s">
        <v>14</v>
      </c>
      <c r="F1458" s="2" t="str">
        <f t="shared" si="66"/>
        <v>Nov</v>
      </c>
      <c r="G1458" s="2">
        <f t="shared" si="67"/>
        <v>2024</v>
      </c>
      <c r="H1458" s="2">
        <f t="shared" si="68"/>
        <v>734</v>
      </c>
    </row>
    <row r="1459" spans="1:8" x14ac:dyDescent="0.25">
      <c r="A1459" s="1">
        <v>45609</v>
      </c>
      <c r="B1459" t="s">
        <v>1474</v>
      </c>
      <c r="C1459" t="s">
        <v>20</v>
      </c>
      <c r="D1459">
        <v>3164</v>
      </c>
      <c r="E1459" t="s">
        <v>14</v>
      </c>
      <c r="F1459" s="2" t="str">
        <f t="shared" si="66"/>
        <v>Nov</v>
      </c>
      <c r="G1459" s="2">
        <f t="shared" si="67"/>
        <v>2024</v>
      </c>
      <c r="H1459" s="2">
        <f t="shared" si="68"/>
        <v>3164</v>
      </c>
    </row>
    <row r="1460" spans="1:8" x14ac:dyDescent="0.25">
      <c r="A1460" s="1">
        <v>45609</v>
      </c>
      <c r="B1460" t="s">
        <v>1475</v>
      </c>
      <c r="C1460" t="s">
        <v>27</v>
      </c>
      <c r="D1460">
        <v>1950.21</v>
      </c>
      <c r="E1460" t="s">
        <v>7</v>
      </c>
      <c r="F1460" s="2" t="str">
        <f t="shared" si="66"/>
        <v>Nov</v>
      </c>
      <c r="G1460" s="2">
        <f t="shared" si="67"/>
        <v>2024</v>
      </c>
      <c r="H1460" s="2">
        <f t="shared" si="68"/>
        <v>-1950.21</v>
      </c>
    </row>
    <row r="1461" spans="1:8" x14ac:dyDescent="0.25">
      <c r="A1461" s="1">
        <v>45610</v>
      </c>
      <c r="B1461" t="s">
        <v>1476</v>
      </c>
      <c r="C1461" t="s">
        <v>35</v>
      </c>
      <c r="D1461">
        <v>1101.6099999999999</v>
      </c>
      <c r="E1461" t="s">
        <v>7</v>
      </c>
      <c r="F1461" s="2" t="str">
        <f t="shared" si="66"/>
        <v>Nov</v>
      </c>
      <c r="G1461" s="2">
        <f t="shared" si="67"/>
        <v>2024</v>
      </c>
      <c r="H1461" s="2">
        <f t="shared" si="68"/>
        <v>-1101.6099999999999</v>
      </c>
    </row>
    <row r="1462" spans="1:8" x14ac:dyDescent="0.25">
      <c r="A1462" s="1">
        <v>45610</v>
      </c>
      <c r="B1462" t="s">
        <v>1477</v>
      </c>
      <c r="C1462" t="s">
        <v>13</v>
      </c>
      <c r="D1462">
        <v>4240</v>
      </c>
      <c r="E1462" t="s">
        <v>14</v>
      </c>
      <c r="F1462" s="2" t="str">
        <f t="shared" si="66"/>
        <v>Nov</v>
      </c>
      <c r="G1462" s="2">
        <f t="shared" si="67"/>
        <v>2024</v>
      </c>
      <c r="H1462" s="2">
        <f t="shared" si="68"/>
        <v>4240</v>
      </c>
    </row>
    <row r="1463" spans="1:8" x14ac:dyDescent="0.25">
      <c r="A1463" s="1">
        <v>45612</v>
      </c>
      <c r="B1463" t="s">
        <v>1478</v>
      </c>
      <c r="C1463" t="s">
        <v>17</v>
      </c>
      <c r="D1463">
        <v>1051.69</v>
      </c>
      <c r="E1463" t="s">
        <v>7</v>
      </c>
      <c r="F1463" s="2" t="str">
        <f t="shared" si="66"/>
        <v>Nov</v>
      </c>
      <c r="G1463" s="2">
        <f t="shared" si="67"/>
        <v>2024</v>
      </c>
      <c r="H1463" s="2">
        <f t="shared" si="68"/>
        <v>-1051.69</v>
      </c>
    </row>
    <row r="1464" spans="1:8" x14ac:dyDescent="0.25">
      <c r="A1464" s="1">
        <v>45613</v>
      </c>
      <c r="B1464" t="s">
        <v>1479</v>
      </c>
      <c r="C1464" t="s">
        <v>35</v>
      </c>
      <c r="D1464">
        <v>1818.76</v>
      </c>
      <c r="E1464" t="s">
        <v>7</v>
      </c>
      <c r="F1464" s="2" t="str">
        <f t="shared" si="66"/>
        <v>Nov</v>
      </c>
      <c r="G1464" s="2">
        <f t="shared" si="67"/>
        <v>2024</v>
      </c>
      <c r="H1464" s="2">
        <f t="shared" si="68"/>
        <v>-1818.76</v>
      </c>
    </row>
    <row r="1465" spans="1:8" x14ac:dyDescent="0.25">
      <c r="A1465" s="1">
        <v>45613</v>
      </c>
      <c r="B1465" t="s">
        <v>1480</v>
      </c>
      <c r="C1465" t="s">
        <v>22</v>
      </c>
      <c r="D1465">
        <v>1611.37</v>
      </c>
      <c r="E1465" t="s">
        <v>7</v>
      </c>
      <c r="F1465" s="2" t="str">
        <f t="shared" si="66"/>
        <v>Nov</v>
      </c>
      <c r="G1465" s="2">
        <f t="shared" si="67"/>
        <v>2024</v>
      </c>
      <c r="H1465" s="2">
        <f t="shared" si="68"/>
        <v>-1611.37</v>
      </c>
    </row>
    <row r="1466" spans="1:8" x14ac:dyDescent="0.25">
      <c r="A1466" s="1">
        <v>45613</v>
      </c>
      <c r="B1466" t="s">
        <v>1481</v>
      </c>
      <c r="C1466" t="s">
        <v>25</v>
      </c>
      <c r="D1466">
        <v>830.29</v>
      </c>
      <c r="E1466" t="s">
        <v>7</v>
      </c>
      <c r="F1466" s="2" t="str">
        <f t="shared" si="66"/>
        <v>Nov</v>
      </c>
      <c r="G1466" s="2">
        <f t="shared" si="67"/>
        <v>2024</v>
      </c>
      <c r="H1466" s="2">
        <f t="shared" si="68"/>
        <v>-830.29</v>
      </c>
    </row>
    <row r="1467" spans="1:8" x14ac:dyDescent="0.25">
      <c r="A1467" s="1">
        <v>45613</v>
      </c>
      <c r="B1467" t="s">
        <v>1482</v>
      </c>
      <c r="C1467" t="s">
        <v>13</v>
      </c>
      <c r="D1467">
        <v>500</v>
      </c>
      <c r="E1467" t="s">
        <v>14</v>
      </c>
      <c r="F1467" s="2" t="str">
        <f t="shared" si="66"/>
        <v>Nov</v>
      </c>
      <c r="G1467" s="2">
        <f t="shared" si="67"/>
        <v>2024</v>
      </c>
      <c r="H1467" s="2">
        <f t="shared" si="68"/>
        <v>500</v>
      </c>
    </row>
    <row r="1468" spans="1:8" x14ac:dyDescent="0.25">
      <c r="A1468" s="1">
        <v>45614</v>
      </c>
      <c r="B1468" t="s">
        <v>1483</v>
      </c>
      <c r="C1468" t="s">
        <v>9</v>
      </c>
      <c r="D1468">
        <v>694.33</v>
      </c>
      <c r="E1468" t="s">
        <v>7</v>
      </c>
      <c r="F1468" s="2" t="str">
        <f t="shared" si="66"/>
        <v>Nov</v>
      </c>
      <c r="G1468" s="2">
        <f t="shared" si="67"/>
        <v>2024</v>
      </c>
      <c r="H1468" s="2">
        <f t="shared" si="68"/>
        <v>-694.33</v>
      </c>
    </row>
    <row r="1469" spans="1:8" x14ac:dyDescent="0.25">
      <c r="A1469" s="1">
        <v>45614</v>
      </c>
      <c r="B1469" t="s">
        <v>1484</v>
      </c>
      <c r="C1469" t="s">
        <v>6</v>
      </c>
      <c r="D1469">
        <v>1378.66</v>
      </c>
      <c r="E1469" t="s">
        <v>7</v>
      </c>
      <c r="F1469" s="2" t="str">
        <f t="shared" si="66"/>
        <v>Nov</v>
      </c>
      <c r="G1469" s="2">
        <f t="shared" si="67"/>
        <v>2024</v>
      </c>
      <c r="H1469" s="2">
        <f t="shared" si="68"/>
        <v>-1378.66</v>
      </c>
    </row>
    <row r="1470" spans="1:8" x14ac:dyDescent="0.25">
      <c r="A1470" s="1">
        <v>45615</v>
      </c>
      <c r="B1470" t="s">
        <v>1485</v>
      </c>
      <c r="C1470" t="s">
        <v>27</v>
      </c>
      <c r="D1470">
        <v>606.22</v>
      </c>
      <c r="E1470" t="s">
        <v>7</v>
      </c>
      <c r="F1470" s="2" t="str">
        <f t="shared" si="66"/>
        <v>Nov</v>
      </c>
      <c r="G1470" s="2">
        <f t="shared" si="67"/>
        <v>2024</v>
      </c>
      <c r="H1470" s="2">
        <f t="shared" si="68"/>
        <v>-606.22</v>
      </c>
    </row>
    <row r="1471" spans="1:8" x14ac:dyDescent="0.25">
      <c r="A1471" s="1">
        <v>45616</v>
      </c>
      <c r="B1471" t="s">
        <v>1486</v>
      </c>
      <c r="C1471" t="s">
        <v>35</v>
      </c>
      <c r="D1471">
        <v>1198.04</v>
      </c>
      <c r="E1471" t="s">
        <v>7</v>
      </c>
      <c r="F1471" s="2" t="str">
        <f t="shared" si="66"/>
        <v>Nov</v>
      </c>
      <c r="G1471" s="2">
        <f t="shared" si="67"/>
        <v>2024</v>
      </c>
      <c r="H1471" s="2">
        <f t="shared" si="68"/>
        <v>-1198.04</v>
      </c>
    </row>
    <row r="1472" spans="1:8" x14ac:dyDescent="0.25">
      <c r="A1472" s="1">
        <v>45616</v>
      </c>
      <c r="B1472" t="s">
        <v>1487</v>
      </c>
      <c r="C1472" t="s">
        <v>25</v>
      </c>
      <c r="D1472">
        <v>385.26</v>
      </c>
      <c r="E1472" t="s">
        <v>7</v>
      </c>
      <c r="F1472" s="2" t="str">
        <f t="shared" si="66"/>
        <v>Nov</v>
      </c>
      <c r="G1472" s="2">
        <f t="shared" si="67"/>
        <v>2024</v>
      </c>
      <c r="H1472" s="2">
        <f t="shared" si="68"/>
        <v>-385.26</v>
      </c>
    </row>
    <row r="1473" spans="1:8" x14ac:dyDescent="0.25">
      <c r="A1473" s="1">
        <v>45618</v>
      </c>
      <c r="B1473" t="s">
        <v>1488</v>
      </c>
      <c r="C1473" t="s">
        <v>17</v>
      </c>
      <c r="D1473">
        <v>795.56</v>
      </c>
      <c r="E1473" t="s">
        <v>7</v>
      </c>
      <c r="F1473" s="2" t="str">
        <f t="shared" si="66"/>
        <v>Nov</v>
      </c>
      <c r="G1473" s="2">
        <f t="shared" si="67"/>
        <v>2024</v>
      </c>
      <c r="H1473" s="2">
        <f t="shared" si="68"/>
        <v>-795.56</v>
      </c>
    </row>
    <row r="1474" spans="1:8" x14ac:dyDescent="0.25">
      <c r="A1474" s="1">
        <v>45619</v>
      </c>
      <c r="B1474" t="s">
        <v>1489</v>
      </c>
      <c r="C1474" t="s">
        <v>20</v>
      </c>
      <c r="D1474">
        <v>3599</v>
      </c>
      <c r="E1474" t="s">
        <v>14</v>
      </c>
      <c r="F1474" s="2" t="str">
        <f t="shared" ref="F1474:F1501" si="69">TEXT(A1474,"mmm")</f>
        <v>Nov</v>
      </c>
      <c r="G1474" s="2">
        <f t="shared" ref="G1474:G1501" si="70">YEAR(A1474)</f>
        <v>2024</v>
      </c>
      <c r="H1474" s="2">
        <f t="shared" ref="H1474:H1501" si="71">IF(E1474="Income",D1474,-D1474)</f>
        <v>3599</v>
      </c>
    </row>
    <row r="1475" spans="1:8" x14ac:dyDescent="0.25">
      <c r="A1475" s="1">
        <v>45620</v>
      </c>
      <c r="B1475" t="s">
        <v>1490</v>
      </c>
      <c r="C1475" t="s">
        <v>11</v>
      </c>
      <c r="D1475">
        <v>850.26</v>
      </c>
      <c r="E1475" t="s">
        <v>7</v>
      </c>
      <c r="F1475" s="2" t="str">
        <f t="shared" si="69"/>
        <v>Nov</v>
      </c>
      <c r="G1475" s="2">
        <f t="shared" si="70"/>
        <v>2024</v>
      </c>
      <c r="H1475" s="2">
        <f t="shared" si="71"/>
        <v>-850.26</v>
      </c>
    </row>
    <row r="1476" spans="1:8" x14ac:dyDescent="0.25">
      <c r="A1476" s="1">
        <v>45620</v>
      </c>
      <c r="B1476" t="s">
        <v>1491</v>
      </c>
      <c r="C1476" t="s">
        <v>35</v>
      </c>
      <c r="D1476">
        <v>576.51</v>
      </c>
      <c r="E1476" t="s">
        <v>7</v>
      </c>
      <c r="F1476" s="2" t="str">
        <f t="shared" si="69"/>
        <v>Nov</v>
      </c>
      <c r="G1476" s="2">
        <f t="shared" si="70"/>
        <v>2024</v>
      </c>
      <c r="H1476" s="2">
        <f t="shared" si="71"/>
        <v>-576.51</v>
      </c>
    </row>
    <row r="1477" spans="1:8" x14ac:dyDescent="0.25">
      <c r="A1477" s="1">
        <v>45620</v>
      </c>
      <c r="B1477" t="s">
        <v>1492</v>
      </c>
      <c r="C1477" t="s">
        <v>35</v>
      </c>
      <c r="D1477">
        <v>831.68</v>
      </c>
      <c r="E1477" t="s">
        <v>7</v>
      </c>
      <c r="F1477" s="2" t="str">
        <f t="shared" si="69"/>
        <v>Nov</v>
      </c>
      <c r="G1477" s="2">
        <f t="shared" si="70"/>
        <v>2024</v>
      </c>
      <c r="H1477" s="2">
        <f t="shared" si="71"/>
        <v>-831.68</v>
      </c>
    </row>
    <row r="1478" spans="1:8" x14ac:dyDescent="0.25">
      <c r="A1478" s="1">
        <v>45621</v>
      </c>
      <c r="B1478" t="s">
        <v>1493</v>
      </c>
      <c r="C1478" t="s">
        <v>9</v>
      </c>
      <c r="D1478">
        <v>281.88</v>
      </c>
      <c r="E1478" t="s">
        <v>7</v>
      </c>
      <c r="F1478" s="2" t="str">
        <f t="shared" si="69"/>
        <v>Nov</v>
      </c>
      <c r="G1478" s="2">
        <f t="shared" si="70"/>
        <v>2024</v>
      </c>
      <c r="H1478" s="2">
        <f t="shared" si="71"/>
        <v>-281.88</v>
      </c>
    </row>
    <row r="1479" spans="1:8" x14ac:dyDescent="0.25">
      <c r="A1479" s="1">
        <v>45621</v>
      </c>
      <c r="B1479" t="s">
        <v>1494</v>
      </c>
      <c r="C1479" t="s">
        <v>20</v>
      </c>
      <c r="D1479">
        <v>4209</v>
      </c>
      <c r="E1479" t="s">
        <v>14</v>
      </c>
      <c r="F1479" s="2" t="str">
        <f t="shared" si="69"/>
        <v>Nov</v>
      </c>
      <c r="G1479" s="2">
        <f t="shared" si="70"/>
        <v>2024</v>
      </c>
      <c r="H1479" s="2">
        <f t="shared" si="71"/>
        <v>4209</v>
      </c>
    </row>
    <row r="1480" spans="1:8" x14ac:dyDescent="0.25">
      <c r="A1480" s="1">
        <v>45621</v>
      </c>
      <c r="B1480" t="s">
        <v>1495</v>
      </c>
      <c r="C1480" t="s">
        <v>27</v>
      </c>
      <c r="D1480">
        <v>383.7</v>
      </c>
      <c r="E1480" t="s">
        <v>7</v>
      </c>
      <c r="F1480" s="2" t="str">
        <f t="shared" si="69"/>
        <v>Nov</v>
      </c>
      <c r="G1480" s="2">
        <f t="shared" si="70"/>
        <v>2024</v>
      </c>
      <c r="H1480" s="2">
        <f t="shared" si="71"/>
        <v>-383.7</v>
      </c>
    </row>
    <row r="1481" spans="1:8" x14ac:dyDescent="0.25">
      <c r="A1481" s="1">
        <v>45622</v>
      </c>
      <c r="B1481" t="s">
        <v>1496</v>
      </c>
      <c r="C1481" t="s">
        <v>13</v>
      </c>
      <c r="D1481">
        <v>4882</v>
      </c>
      <c r="E1481" t="s">
        <v>14</v>
      </c>
      <c r="F1481" s="2" t="str">
        <f t="shared" si="69"/>
        <v>Nov</v>
      </c>
      <c r="G1481" s="2">
        <f t="shared" si="70"/>
        <v>2024</v>
      </c>
      <c r="H1481" s="2">
        <f t="shared" si="71"/>
        <v>4882</v>
      </c>
    </row>
    <row r="1482" spans="1:8" x14ac:dyDescent="0.25">
      <c r="A1482" s="1">
        <v>45625</v>
      </c>
      <c r="B1482" t="s">
        <v>1497</v>
      </c>
      <c r="C1482" t="s">
        <v>13</v>
      </c>
      <c r="D1482">
        <v>2811</v>
      </c>
      <c r="E1482" t="s">
        <v>14</v>
      </c>
      <c r="F1482" s="2" t="str">
        <f t="shared" si="69"/>
        <v>Nov</v>
      </c>
      <c r="G1482" s="2">
        <f t="shared" si="70"/>
        <v>2024</v>
      </c>
      <c r="H1482" s="2">
        <f t="shared" si="71"/>
        <v>2811</v>
      </c>
    </row>
    <row r="1483" spans="1:8" x14ac:dyDescent="0.25">
      <c r="A1483" s="1">
        <v>45626</v>
      </c>
      <c r="B1483" t="s">
        <v>1498</v>
      </c>
      <c r="C1483" t="s">
        <v>27</v>
      </c>
      <c r="D1483">
        <v>1456.94</v>
      </c>
      <c r="E1483" t="s">
        <v>7</v>
      </c>
      <c r="F1483" s="2" t="str">
        <f t="shared" si="69"/>
        <v>Nov</v>
      </c>
      <c r="G1483" s="2">
        <f t="shared" si="70"/>
        <v>2024</v>
      </c>
      <c r="H1483" s="2">
        <f t="shared" si="71"/>
        <v>-1456.94</v>
      </c>
    </row>
    <row r="1484" spans="1:8" x14ac:dyDescent="0.25">
      <c r="A1484" s="1">
        <v>45628</v>
      </c>
      <c r="B1484" t="s">
        <v>1499</v>
      </c>
      <c r="C1484" t="s">
        <v>9</v>
      </c>
      <c r="D1484">
        <v>39.299999999999997</v>
      </c>
      <c r="E1484" t="s">
        <v>7</v>
      </c>
      <c r="F1484" s="2" t="str">
        <f t="shared" si="69"/>
        <v>Dec</v>
      </c>
      <c r="G1484" s="2">
        <f t="shared" si="70"/>
        <v>2024</v>
      </c>
      <c r="H1484" s="2">
        <f t="shared" si="71"/>
        <v>-39.299999999999997</v>
      </c>
    </row>
    <row r="1485" spans="1:8" x14ac:dyDescent="0.25">
      <c r="A1485" s="1">
        <v>45631</v>
      </c>
      <c r="B1485" t="s">
        <v>1500</v>
      </c>
      <c r="C1485" t="s">
        <v>17</v>
      </c>
      <c r="D1485">
        <v>630.04</v>
      </c>
      <c r="E1485" t="s">
        <v>7</v>
      </c>
      <c r="F1485" s="2" t="str">
        <f t="shared" si="69"/>
        <v>Dec</v>
      </c>
      <c r="G1485" s="2">
        <f t="shared" si="70"/>
        <v>2024</v>
      </c>
      <c r="H1485" s="2">
        <f t="shared" si="71"/>
        <v>-630.04</v>
      </c>
    </row>
    <row r="1486" spans="1:8" x14ac:dyDescent="0.25">
      <c r="A1486" s="1">
        <v>45632</v>
      </c>
      <c r="B1486" t="s">
        <v>1501</v>
      </c>
      <c r="C1486" t="s">
        <v>25</v>
      </c>
      <c r="D1486">
        <v>932.73</v>
      </c>
      <c r="E1486" t="s">
        <v>7</v>
      </c>
      <c r="F1486" s="2" t="str">
        <f t="shared" si="69"/>
        <v>Dec</v>
      </c>
      <c r="G1486" s="2">
        <f t="shared" si="70"/>
        <v>2024</v>
      </c>
      <c r="H1486" s="2">
        <f t="shared" si="71"/>
        <v>-932.73</v>
      </c>
    </row>
    <row r="1487" spans="1:8" x14ac:dyDescent="0.25">
      <c r="A1487" s="1">
        <v>45635</v>
      </c>
      <c r="B1487" t="s">
        <v>1502</v>
      </c>
      <c r="C1487" t="s">
        <v>25</v>
      </c>
      <c r="D1487">
        <v>169.64</v>
      </c>
      <c r="E1487" t="s">
        <v>7</v>
      </c>
      <c r="F1487" s="2" t="str">
        <f t="shared" si="69"/>
        <v>Dec</v>
      </c>
      <c r="G1487" s="2">
        <f t="shared" si="70"/>
        <v>2024</v>
      </c>
      <c r="H1487" s="2">
        <f t="shared" si="71"/>
        <v>-169.64</v>
      </c>
    </row>
    <row r="1488" spans="1:8" x14ac:dyDescent="0.25">
      <c r="A1488" s="1">
        <v>45637</v>
      </c>
      <c r="B1488" t="s">
        <v>1503</v>
      </c>
      <c r="C1488" t="s">
        <v>9</v>
      </c>
      <c r="D1488">
        <v>121.52</v>
      </c>
      <c r="E1488" t="s">
        <v>7</v>
      </c>
      <c r="F1488" s="2" t="str">
        <f t="shared" si="69"/>
        <v>Dec</v>
      </c>
      <c r="G1488" s="2">
        <f t="shared" si="70"/>
        <v>2024</v>
      </c>
      <c r="H1488" s="2">
        <f t="shared" si="71"/>
        <v>-121.52</v>
      </c>
    </row>
    <row r="1489" spans="1:8" x14ac:dyDescent="0.25">
      <c r="A1489" s="1">
        <v>45638</v>
      </c>
      <c r="B1489" t="s">
        <v>1504</v>
      </c>
      <c r="C1489" t="s">
        <v>11</v>
      </c>
      <c r="D1489">
        <v>1090.95</v>
      </c>
      <c r="E1489" t="s">
        <v>7</v>
      </c>
      <c r="F1489" s="2" t="str">
        <f t="shared" si="69"/>
        <v>Dec</v>
      </c>
      <c r="G1489" s="2">
        <f t="shared" si="70"/>
        <v>2024</v>
      </c>
      <c r="H1489" s="2">
        <f t="shared" si="71"/>
        <v>-1090.95</v>
      </c>
    </row>
    <row r="1490" spans="1:8" x14ac:dyDescent="0.25">
      <c r="A1490" s="1">
        <v>45638</v>
      </c>
      <c r="B1490" t="s">
        <v>1505</v>
      </c>
      <c r="C1490" t="s">
        <v>20</v>
      </c>
      <c r="D1490">
        <v>3625</v>
      </c>
      <c r="E1490" t="s">
        <v>14</v>
      </c>
      <c r="F1490" s="2" t="str">
        <f t="shared" si="69"/>
        <v>Dec</v>
      </c>
      <c r="G1490" s="2">
        <f t="shared" si="70"/>
        <v>2024</v>
      </c>
      <c r="H1490" s="2">
        <f t="shared" si="71"/>
        <v>3625</v>
      </c>
    </row>
    <row r="1491" spans="1:8" x14ac:dyDescent="0.25">
      <c r="A1491" s="1">
        <v>45641</v>
      </c>
      <c r="B1491" t="s">
        <v>1506</v>
      </c>
      <c r="C1491" t="s">
        <v>11</v>
      </c>
      <c r="D1491">
        <v>1949.45</v>
      </c>
      <c r="E1491" t="s">
        <v>7</v>
      </c>
      <c r="F1491" s="2" t="str">
        <f t="shared" si="69"/>
        <v>Dec</v>
      </c>
      <c r="G1491" s="2">
        <f t="shared" si="70"/>
        <v>2024</v>
      </c>
      <c r="H1491" s="2">
        <f t="shared" si="71"/>
        <v>-1949.45</v>
      </c>
    </row>
    <row r="1492" spans="1:8" x14ac:dyDescent="0.25">
      <c r="A1492" s="1">
        <v>45642</v>
      </c>
      <c r="B1492" t="s">
        <v>1507</v>
      </c>
      <c r="C1492" t="s">
        <v>17</v>
      </c>
      <c r="D1492">
        <v>1544.74</v>
      </c>
      <c r="E1492" t="s">
        <v>7</v>
      </c>
      <c r="F1492" s="2" t="str">
        <f t="shared" si="69"/>
        <v>Dec</v>
      </c>
      <c r="G1492" s="2">
        <f t="shared" si="70"/>
        <v>2024</v>
      </c>
      <c r="H1492" s="2">
        <f t="shared" si="71"/>
        <v>-1544.74</v>
      </c>
    </row>
    <row r="1493" spans="1:8" x14ac:dyDescent="0.25">
      <c r="A1493" s="1">
        <v>45645</v>
      </c>
      <c r="B1493" t="s">
        <v>1508</v>
      </c>
      <c r="C1493" t="s">
        <v>6</v>
      </c>
      <c r="D1493">
        <v>406.37</v>
      </c>
      <c r="E1493" t="s">
        <v>7</v>
      </c>
      <c r="F1493" s="2" t="str">
        <f t="shared" si="69"/>
        <v>Dec</v>
      </c>
      <c r="G1493" s="2">
        <f t="shared" si="70"/>
        <v>2024</v>
      </c>
      <c r="H1493" s="2">
        <f t="shared" si="71"/>
        <v>-406.37</v>
      </c>
    </row>
    <row r="1494" spans="1:8" x14ac:dyDescent="0.25">
      <c r="A1494" s="1">
        <v>45645</v>
      </c>
      <c r="B1494" t="s">
        <v>1509</v>
      </c>
      <c r="C1494" t="s">
        <v>11</v>
      </c>
      <c r="D1494">
        <v>1047.07</v>
      </c>
      <c r="E1494" t="s">
        <v>7</v>
      </c>
      <c r="F1494" s="2" t="str">
        <f t="shared" si="69"/>
        <v>Dec</v>
      </c>
      <c r="G1494" s="2">
        <f t="shared" si="70"/>
        <v>2024</v>
      </c>
      <c r="H1494" s="2">
        <f t="shared" si="71"/>
        <v>-1047.07</v>
      </c>
    </row>
    <row r="1495" spans="1:8" x14ac:dyDescent="0.25">
      <c r="A1495" s="1">
        <v>45647</v>
      </c>
      <c r="B1495" t="s">
        <v>1510</v>
      </c>
      <c r="C1495" t="s">
        <v>27</v>
      </c>
      <c r="D1495">
        <v>784.35</v>
      </c>
      <c r="E1495" t="s">
        <v>7</v>
      </c>
      <c r="F1495" s="2" t="str">
        <f t="shared" si="69"/>
        <v>Dec</v>
      </c>
      <c r="G1495" s="2">
        <f t="shared" si="70"/>
        <v>2024</v>
      </c>
      <c r="H1495" s="2">
        <f t="shared" si="71"/>
        <v>-784.35</v>
      </c>
    </row>
    <row r="1496" spans="1:8" x14ac:dyDescent="0.25">
      <c r="A1496" s="1">
        <v>45649</v>
      </c>
      <c r="B1496" t="s">
        <v>1511</v>
      </c>
      <c r="C1496" t="s">
        <v>25</v>
      </c>
      <c r="D1496">
        <v>325.64</v>
      </c>
      <c r="E1496" t="s">
        <v>7</v>
      </c>
      <c r="F1496" s="2" t="str">
        <f t="shared" si="69"/>
        <v>Dec</v>
      </c>
      <c r="G1496" s="2">
        <f t="shared" si="70"/>
        <v>2024</v>
      </c>
      <c r="H1496" s="2">
        <f t="shared" si="71"/>
        <v>-325.64</v>
      </c>
    </row>
    <row r="1497" spans="1:8" x14ac:dyDescent="0.25">
      <c r="A1497" s="1">
        <v>45654</v>
      </c>
      <c r="B1497" t="s">
        <v>1512</v>
      </c>
      <c r="C1497" t="s">
        <v>11</v>
      </c>
      <c r="D1497">
        <v>514.09</v>
      </c>
      <c r="E1497" t="s">
        <v>7</v>
      </c>
      <c r="F1497" s="2" t="str">
        <f t="shared" si="69"/>
        <v>Dec</v>
      </c>
      <c r="G1497" s="2">
        <f t="shared" si="70"/>
        <v>2024</v>
      </c>
      <c r="H1497" s="2">
        <f t="shared" si="71"/>
        <v>-514.09</v>
      </c>
    </row>
    <row r="1498" spans="1:8" x14ac:dyDescent="0.25">
      <c r="A1498" s="1">
        <v>45654</v>
      </c>
      <c r="B1498" t="s">
        <v>1513</v>
      </c>
      <c r="C1498" t="s">
        <v>22</v>
      </c>
      <c r="D1498">
        <v>727.25</v>
      </c>
      <c r="E1498" t="s">
        <v>7</v>
      </c>
      <c r="F1498" s="2" t="str">
        <f t="shared" si="69"/>
        <v>Dec</v>
      </c>
      <c r="G1498" s="2">
        <f t="shared" si="70"/>
        <v>2024</v>
      </c>
      <c r="H1498" s="2">
        <f t="shared" si="71"/>
        <v>-727.25</v>
      </c>
    </row>
    <row r="1499" spans="1:8" x14ac:dyDescent="0.25">
      <c r="A1499" s="1">
        <v>45654</v>
      </c>
      <c r="B1499" t="s">
        <v>1514</v>
      </c>
      <c r="C1499" t="s">
        <v>13</v>
      </c>
      <c r="D1499">
        <v>1425</v>
      </c>
      <c r="E1499" t="s">
        <v>14</v>
      </c>
      <c r="F1499" s="2" t="str">
        <f t="shared" si="69"/>
        <v>Dec</v>
      </c>
      <c r="G1499" s="2">
        <f t="shared" si="70"/>
        <v>2024</v>
      </c>
      <c r="H1499" s="2">
        <f t="shared" si="71"/>
        <v>1425</v>
      </c>
    </row>
    <row r="1500" spans="1:8" x14ac:dyDescent="0.25">
      <c r="A1500" s="1">
        <v>45655</v>
      </c>
      <c r="B1500" t="s">
        <v>1515</v>
      </c>
      <c r="C1500" t="s">
        <v>17</v>
      </c>
      <c r="D1500">
        <v>655.78</v>
      </c>
      <c r="E1500" t="s">
        <v>7</v>
      </c>
      <c r="F1500" s="2" t="str">
        <f t="shared" si="69"/>
        <v>Dec</v>
      </c>
      <c r="G1500" s="2">
        <f t="shared" si="70"/>
        <v>2024</v>
      </c>
      <c r="H1500" s="2">
        <f t="shared" si="71"/>
        <v>-655.78</v>
      </c>
    </row>
    <row r="1501" spans="1:8" x14ac:dyDescent="0.25">
      <c r="A1501" s="1">
        <v>45655</v>
      </c>
      <c r="B1501" t="s">
        <v>1516</v>
      </c>
      <c r="C1501" t="s">
        <v>20</v>
      </c>
      <c r="D1501">
        <v>1480</v>
      </c>
      <c r="E1501" t="s">
        <v>14</v>
      </c>
      <c r="F1501" s="2" t="str">
        <f t="shared" si="69"/>
        <v>Dec</v>
      </c>
      <c r="G1501" s="2">
        <f t="shared" si="70"/>
        <v>2024</v>
      </c>
      <c r="H1501" s="2">
        <f t="shared" si="71"/>
        <v>1480</v>
      </c>
    </row>
  </sheetData>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EAE36E-7E0A-40BA-BEC6-E9A7A2AFA86A}">
  <dimension ref="A1:E17"/>
  <sheetViews>
    <sheetView workbookViewId="0">
      <selection activeCell="E13" sqref="E13"/>
    </sheetView>
  </sheetViews>
  <sheetFormatPr defaultRowHeight="15" x14ac:dyDescent="0.25"/>
  <cols>
    <col min="1" max="1" width="22.85546875" customWidth="1"/>
    <col min="2" max="2" width="24.42578125" bestFit="1" customWidth="1"/>
    <col min="5" max="5" width="14.5703125" customWidth="1"/>
  </cols>
  <sheetData>
    <row r="1" spans="1:5" x14ac:dyDescent="0.25">
      <c r="A1" t="s">
        <v>1520</v>
      </c>
      <c r="B1" t="s">
        <v>1528</v>
      </c>
    </row>
    <row r="2" spans="1:5" x14ac:dyDescent="0.25">
      <c r="A2" t="s">
        <v>1521</v>
      </c>
      <c r="B2">
        <v>1961281</v>
      </c>
    </row>
    <row r="3" spans="1:5" x14ac:dyDescent="0.25">
      <c r="A3" t="s">
        <v>1522</v>
      </c>
      <c r="B3">
        <v>1227194</v>
      </c>
    </row>
    <row r="4" spans="1:5" x14ac:dyDescent="0.25">
      <c r="A4" s="3" t="s">
        <v>1523</v>
      </c>
      <c r="B4">
        <f>B2-B3</f>
        <v>734087</v>
      </c>
    </row>
    <row r="5" spans="1:5" x14ac:dyDescent="0.25">
      <c r="A5" s="3" t="s">
        <v>1524</v>
      </c>
      <c r="B5" s="5">
        <f>B4/B2</f>
        <v>0.37428955871188269</v>
      </c>
    </row>
    <row r="6" spans="1:5" x14ac:dyDescent="0.25">
      <c r="A6" s="3" t="s">
        <v>1525</v>
      </c>
      <c r="B6">
        <f>COUNTA(FinanceData!A2:A1501)</f>
        <v>1500</v>
      </c>
    </row>
    <row r="7" spans="1:5" x14ac:dyDescent="0.25">
      <c r="A7" s="4" t="s">
        <v>1526</v>
      </c>
      <c r="B7" s="3">
        <f>AVERAGEIF(FinanceData!E2:E1501,"Expense",FinanceData!D2:D1501)</f>
        <v>1004.2507119476273</v>
      </c>
    </row>
    <row r="8" spans="1:5" x14ac:dyDescent="0.25">
      <c r="A8" s="4" t="s">
        <v>1527</v>
      </c>
      <c r="B8" s="3">
        <f>_xlfn.MAXIFS(FinanceData!D2:D1501,FinanceData!E2:E1501,"Expense")</f>
        <v>1999.82</v>
      </c>
    </row>
    <row r="10" spans="1:5" x14ac:dyDescent="0.25">
      <c r="D10" s="6"/>
      <c r="E10" s="6"/>
    </row>
    <row r="11" spans="1:5" x14ac:dyDescent="0.25">
      <c r="D11" s="4"/>
      <c r="E11" s="4"/>
    </row>
    <row r="12" spans="1:5" x14ac:dyDescent="0.25">
      <c r="D12" s="3"/>
      <c r="E12" s="3"/>
    </row>
    <row r="13" spans="1:5" x14ac:dyDescent="0.25">
      <c r="D13" s="3"/>
      <c r="E13" s="3"/>
    </row>
    <row r="14" spans="1:5" x14ac:dyDescent="0.25">
      <c r="D14" s="3"/>
      <c r="E14" s="3"/>
    </row>
    <row r="15" spans="1:5" x14ac:dyDescent="0.25">
      <c r="D15" s="3"/>
      <c r="E15" s="3"/>
    </row>
    <row r="16" spans="1:5" x14ac:dyDescent="0.25">
      <c r="E16" s="3"/>
    </row>
    <row r="17" spans="5:5" x14ac:dyDescent="0.25">
      <c r="E17" s="3"/>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F33EDF-A896-43B4-9863-102A85BD5136}">
  <dimension ref="A1:K12"/>
  <sheetViews>
    <sheetView workbookViewId="0">
      <selection activeCell="R21" sqref="R21"/>
    </sheetView>
  </sheetViews>
  <sheetFormatPr defaultRowHeight="15" x14ac:dyDescent="0.25"/>
  <cols>
    <col min="1" max="1" width="15.5703125" bestFit="1" customWidth="1"/>
    <col min="2" max="2" width="14.85546875" bestFit="1" customWidth="1"/>
  </cols>
  <sheetData>
    <row r="1" spans="1:11" x14ac:dyDescent="0.25">
      <c r="A1" s="8" t="s">
        <v>4</v>
      </c>
      <c r="B1" t="s">
        <v>7</v>
      </c>
    </row>
    <row r="3" spans="1:11" x14ac:dyDescent="0.25">
      <c r="A3" s="8" t="s">
        <v>1529</v>
      </c>
      <c r="B3" t="s">
        <v>1531</v>
      </c>
    </row>
    <row r="4" spans="1:11" x14ac:dyDescent="0.25">
      <c r="A4" s="9" t="s">
        <v>35</v>
      </c>
      <c r="B4">
        <v>169497.78999999998</v>
      </c>
    </row>
    <row r="5" spans="1:11" x14ac:dyDescent="0.25">
      <c r="A5" s="9" t="s">
        <v>11</v>
      </c>
      <c r="B5">
        <v>162075.38999999987</v>
      </c>
    </row>
    <row r="6" spans="1:11" x14ac:dyDescent="0.25">
      <c r="A6" s="9" t="s">
        <v>6</v>
      </c>
      <c r="B6">
        <v>159493.39000000001</v>
      </c>
    </row>
    <row r="7" spans="1:11" x14ac:dyDescent="0.25">
      <c r="A7" s="9" t="s">
        <v>27</v>
      </c>
      <c r="B7">
        <v>149053.55000000002</v>
      </c>
    </row>
    <row r="8" spans="1:11" x14ac:dyDescent="0.25">
      <c r="A8" s="9" t="s">
        <v>22</v>
      </c>
      <c r="B8">
        <v>148165.46999999997</v>
      </c>
      <c r="K8" s="7"/>
    </row>
    <row r="9" spans="1:11" x14ac:dyDescent="0.25">
      <c r="A9" s="9" t="s">
        <v>17</v>
      </c>
      <c r="B9">
        <v>146880.75000000003</v>
      </c>
      <c r="K9" s="7"/>
    </row>
    <row r="10" spans="1:11" x14ac:dyDescent="0.25">
      <c r="A10" s="9" t="s">
        <v>9</v>
      </c>
      <c r="B10">
        <v>146833.97000000003</v>
      </c>
      <c r="K10" s="7"/>
    </row>
    <row r="11" spans="1:11" x14ac:dyDescent="0.25">
      <c r="A11" s="9" t="s">
        <v>25</v>
      </c>
      <c r="B11">
        <v>145194.06</v>
      </c>
    </row>
    <row r="12" spans="1:11" x14ac:dyDescent="0.25">
      <c r="A12" s="9" t="s">
        <v>1530</v>
      </c>
      <c r="B12">
        <v>1227194.3699999999</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EEF5F9-D830-46CE-B204-EB61E501927B}">
  <dimension ref="A3:K17"/>
  <sheetViews>
    <sheetView workbookViewId="0">
      <selection activeCell="I5" sqref="I5"/>
    </sheetView>
  </sheetViews>
  <sheetFormatPr defaultRowHeight="15" x14ac:dyDescent="0.25"/>
  <cols>
    <col min="1" max="1" width="14.85546875" bestFit="1" customWidth="1"/>
    <col min="2" max="2" width="16.28515625" bestFit="1" customWidth="1"/>
    <col min="3" max="3" width="7.5703125" bestFit="1" customWidth="1"/>
    <col min="4" max="4" width="11.28515625" bestFit="1" customWidth="1"/>
  </cols>
  <sheetData>
    <row r="3" spans="1:11" x14ac:dyDescent="0.25">
      <c r="A3" s="8" t="s">
        <v>1531</v>
      </c>
      <c r="B3" s="8" t="s">
        <v>1544</v>
      </c>
    </row>
    <row r="4" spans="1:11" x14ac:dyDescent="0.25">
      <c r="A4" s="8" t="s">
        <v>1529</v>
      </c>
      <c r="B4" t="s">
        <v>7</v>
      </c>
      <c r="C4" t="s">
        <v>14</v>
      </c>
      <c r="D4" t="s">
        <v>1530</v>
      </c>
    </row>
    <row r="5" spans="1:11" x14ac:dyDescent="0.25">
      <c r="A5" s="9" t="s">
        <v>1532</v>
      </c>
      <c r="B5">
        <v>112418.85000000006</v>
      </c>
      <c r="C5">
        <v>79014</v>
      </c>
      <c r="D5">
        <v>191432.85000000006</v>
      </c>
    </row>
    <row r="6" spans="1:11" x14ac:dyDescent="0.25">
      <c r="A6" s="9" t="s">
        <v>1533</v>
      </c>
      <c r="B6">
        <v>97753.660000000033</v>
      </c>
      <c r="C6">
        <v>70677</v>
      </c>
      <c r="D6">
        <v>168430.66000000003</v>
      </c>
    </row>
    <row r="7" spans="1:11" x14ac:dyDescent="0.25">
      <c r="A7" s="9" t="s">
        <v>1534</v>
      </c>
      <c r="B7">
        <v>100698.45000000003</v>
      </c>
      <c r="C7">
        <v>87635</v>
      </c>
      <c r="D7">
        <v>188333.45</v>
      </c>
    </row>
    <row r="8" spans="1:11" x14ac:dyDescent="0.25">
      <c r="A8" s="9" t="s">
        <v>1535</v>
      </c>
      <c r="B8">
        <v>92945.590000000011</v>
      </c>
      <c r="C8">
        <v>45844</v>
      </c>
      <c r="D8">
        <v>138789.59000000003</v>
      </c>
    </row>
    <row r="9" spans="1:11" x14ac:dyDescent="0.25">
      <c r="A9" s="9" t="s">
        <v>1536</v>
      </c>
      <c r="B9">
        <v>105815.38999999994</v>
      </c>
      <c r="C9">
        <v>48226</v>
      </c>
      <c r="D9">
        <v>154041.38999999996</v>
      </c>
      <c r="K9" s="10"/>
    </row>
    <row r="10" spans="1:11" x14ac:dyDescent="0.25">
      <c r="A10" s="9" t="s">
        <v>1537</v>
      </c>
      <c r="B10">
        <v>111000.97000000003</v>
      </c>
      <c r="C10">
        <v>51090</v>
      </c>
      <c r="D10">
        <v>162090.97000000003</v>
      </c>
      <c r="K10" s="11"/>
    </row>
    <row r="11" spans="1:11" x14ac:dyDescent="0.25">
      <c r="A11" s="9" t="s">
        <v>1538</v>
      </c>
      <c r="B11">
        <v>116178.50000000001</v>
      </c>
      <c r="C11">
        <v>57628</v>
      </c>
      <c r="D11">
        <v>173806.5</v>
      </c>
      <c r="K11" s="11"/>
    </row>
    <row r="12" spans="1:11" x14ac:dyDescent="0.25">
      <c r="A12" s="9" t="s">
        <v>1539</v>
      </c>
      <c r="B12">
        <v>110513.11</v>
      </c>
      <c r="C12">
        <v>51627</v>
      </c>
      <c r="D12">
        <v>162140.10999999999</v>
      </c>
      <c r="K12" s="11"/>
    </row>
    <row r="13" spans="1:11" x14ac:dyDescent="0.25">
      <c r="A13" s="9" t="s">
        <v>1540</v>
      </c>
      <c r="B13">
        <v>102735.48999999999</v>
      </c>
      <c r="C13">
        <v>65727</v>
      </c>
      <c r="D13">
        <v>168462.49</v>
      </c>
    </row>
    <row r="14" spans="1:11" x14ac:dyDescent="0.25">
      <c r="A14" s="9" t="s">
        <v>1541</v>
      </c>
      <c r="B14">
        <v>88660.279999999984</v>
      </c>
      <c r="C14">
        <v>63294</v>
      </c>
      <c r="D14">
        <v>151954.27999999997</v>
      </c>
    </row>
    <row r="15" spans="1:11" x14ac:dyDescent="0.25">
      <c r="A15" s="9" t="s">
        <v>1542</v>
      </c>
      <c r="B15">
        <v>107009.74999999996</v>
      </c>
      <c r="C15">
        <v>64948</v>
      </c>
      <c r="D15">
        <v>171957.74999999994</v>
      </c>
    </row>
    <row r="16" spans="1:11" x14ac:dyDescent="0.25">
      <c r="A16" s="9" t="s">
        <v>1543</v>
      </c>
      <c r="B16">
        <v>81464.33</v>
      </c>
      <c r="C16">
        <v>48377</v>
      </c>
      <c r="D16">
        <v>129841.33</v>
      </c>
    </row>
    <row r="17" spans="1:4" x14ac:dyDescent="0.25">
      <c r="A17" s="9" t="s">
        <v>1530</v>
      </c>
      <c r="B17">
        <v>1227194.3700000001</v>
      </c>
      <c r="C17">
        <v>734087</v>
      </c>
      <c r="D17">
        <v>1961281.37</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5B8138-59E7-4B01-84D5-04546CFB9510}">
  <dimension ref="A1:R15"/>
  <sheetViews>
    <sheetView showGridLines="0" tabSelected="1" zoomScale="93" workbookViewId="0">
      <selection activeCell="O20" sqref="O20"/>
    </sheetView>
  </sheetViews>
  <sheetFormatPr defaultRowHeight="15" x14ac:dyDescent="0.25"/>
  <sheetData>
    <row r="1" spans="1:18" ht="31.5" x14ac:dyDescent="0.5">
      <c r="A1" s="14" t="s">
        <v>1545</v>
      </c>
    </row>
    <row r="3" spans="1:18" x14ac:dyDescent="0.25">
      <c r="B3" s="4"/>
    </row>
    <row r="4" spans="1:18" x14ac:dyDescent="0.25">
      <c r="B4" s="3"/>
      <c r="C4" s="4"/>
    </row>
    <row r="5" spans="1:18" x14ac:dyDescent="0.25">
      <c r="B5" s="3"/>
      <c r="C5" s="4"/>
    </row>
    <row r="6" spans="1:18" x14ac:dyDescent="0.25">
      <c r="B6" s="3"/>
      <c r="C6" s="4"/>
    </row>
    <row r="7" spans="1:18" x14ac:dyDescent="0.25">
      <c r="B7" t="s">
        <v>1546</v>
      </c>
    </row>
    <row r="8" spans="1:18" x14ac:dyDescent="0.25">
      <c r="B8">
        <f>Analysis!B2</f>
        <v>1961281</v>
      </c>
      <c r="D8">
        <f>Analysis!B3</f>
        <v>1227194</v>
      </c>
      <c r="F8">
        <f>Analysis!B4</f>
        <v>734087</v>
      </c>
    </row>
    <row r="9" spans="1:18" x14ac:dyDescent="0.25">
      <c r="G9" s="13">
        <f>Analysis!B5</f>
        <v>0.37428955871188269</v>
      </c>
    </row>
    <row r="11" spans="1:18" ht="36" x14ac:dyDescent="0.55000000000000004">
      <c r="B11" t="s">
        <v>1548</v>
      </c>
      <c r="R11" s="12" t="s">
        <v>1549</v>
      </c>
    </row>
    <row r="15" spans="1:18" x14ac:dyDescent="0.25">
      <c r="B15" t="s">
        <v>1547</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problrm_statement</vt:lpstr>
      <vt:lpstr>FinanceData</vt:lpstr>
      <vt:lpstr>Analysis</vt:lpstr>
      <vt:lpstr>category_Analysis</vt:lpstr>
      <vt:lpstr>Monthly Analysis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 shahira</dc:creator>
  <cp:lastModifiedBy>p shahira</cp:lastModifiedBy>
  <dcterms:created xsi:type="dcterms:W3CDTF">2026-09-19T19:40:01Z</dcterms:created>
  <dcterms:modified xsi:type="dcterms:W3CDTF">2026-09-20T08:50:49Z</dcterms:modified>
</cp:coreProperties>
</file>